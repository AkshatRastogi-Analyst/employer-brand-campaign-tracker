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Dashboard" sheetId="2" state="visible" r:id="rId4"/>
    <sheet name="Settings" sheetId="3" state="visible" r:id="rId5"/>
    <sheet name="Campaigns" sheetId="4" state="visible" r:id="rId6"/>
    <sheet name="Content_Calendar" sheetId="5" state="visible" r:id="rId7"/>
    <sheet name="Performance" sheetId="6" state="visible" r:id="rId8"/>
    <sheet name="Careers_QA" sheetId="7" state="visible" r:id="rId9"/>
    <sheet name="Tasks" sheetId="8" state="visible" r:id="rId10"/>
  </sheets>
  <definedNames>
    <definedName function="false" hidden="true" localSheetId="4" name="_xlnm._FilterDatabase" vbProcedure="false">Content_Calendar!$A$4:$I$304</definedName>
    <definedName function="false" hidden="true" localSheetId="5" name="_xlnm._FilterDatabase" vbProcedure="false">Performance!$A$4:$L$304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<sst xmlns="http://schemas.openxmlformats.org/spreadsheetml/2006/main" count="516" uniqueCount="214">
  <si>
    <t xml:space="preserve">Employer Brand Campaign Tracker</t>
  </si>
  <si>
    <t xml:space="preserve">Plan, run and report on recruitment marketing campaigns in one Excel file</t>
  </si>
  <si>
    <t xml:space="preserve">What this workbook does</t>
  </si>
  <si>
    <t xml:space="preserve">One place to plan campaign content, log results by channel, check the careers website, and keep track of tasks with recruiters, agencies and suppliers. Every number on the Dashboard and in the charts is a formula, so it changes the moment you change an entry.</t>
  </si>
  <si>
    <t xml:space="preserve">Sheets</t>
  </si>
  <si>
    <t xml:space="preserve">Dashboard</t>
  </si>
  <si>
    <t xml:space="preserve">Headline numbers, results by channel and campaign, content and task status, careers page checks, and two charts.</t>
  </si>
  <si>
    <t xml:space="preserve">Settings</t>
  </si>
  <si>
    <t xml:space="preserve">The report date, the two targets, and the channel names.</t>
  </si>
  <si>
    <t xml:space="preserve">Campaigns</t>
  </si>
  <si>
    <t xml:space="preserve">One row per campaign: ID, name, goal, dates and status. Room for 20 campaigns; the Dashboard shows the first 8.</t>
  </si>
  <si>
    <t xml:space="preserve">Content_Calendar</t>
  </si>
  <si>
    <t xml:space="preserve">What is going out, when, on which channel, who owns it, and its status. Late items are flagged. Room for 300 rows.</t>
  </si>
  <si>
    <t xml:space="preserve">Performance</t>
  </si>
  <si>
    <t xml:space="preserve">Results by campaign and channel: impressions, clicks, careers page visits and applications. Room for 300 rows.</t>
  </si>
  <si>
    <t xml:space="preserve">Careers_QA</t>
  </si>
  <si>
    <t xml:space="preserve">A checklist for careers website pages: pass, needs update, or fail.</t>
  </si>
  <si>
    <t xml:space="preserve">Tasks</t>
  </si>
  <si>
    <t xml:space="preserve">Follow-ups with recruiters, agencies, suppliers and internal teams, with due dates. Late tasks are flagged.</t>
  </si>
  <si>
    <t xml:space="preserve">How to use it</t>
  </si>
  <si>
    <t xml:space="preserve">1</t>
  </si>
  <si>
    <t xml:space="preserve">Type only in the yellow cells with blue text. Other cells are formulas.</t>
  </si>
  <si>
    <t xml:space="preserve">2</t>
  </si>
  <si>
    <t xml:space="preserve">Add each campaign on the Campaigns sheet, then use its Campaign ID on the other sheets.</t>
  </si>
  <si>
    <t xml:space="preserve">3</t>
  </si>
  <si>
    <t xml:space="preserve">Set the report date, targets and channel names on Settings. Update the report date each time you refresh the report.</t>
  </si>
  <si>
    <t xml:space="preserve">4</t>
  </si>
  <si>
    <t xml:space="preserve">Read the Dashboard.</t>
  </si>
  <si>
    <t xml:space="preserve">Measures</t>
  </si>
  <si>
    <t xml:space="preserve">CTR</t>
  </si>
  <si>
    <t xml:space="preserve">Clicks divided by Impressions.</t>
  </si>
  <si>
    <t xml:space="preserve">Visit-to-apply rate</t>
  </si>
  <si>
    <t xml:space="preserve">Applications divided by Careers page visits.</t>
  </si>
  <si>
    <t xml:space="preserve">Result</t>
  </si>
  <si>
    <t xml:space="preserve">On target if CTR and visit-to-apply rate are both at or above the targets, otherwise Below target.</t>
  </si>
  <si>
    <t xml:space="preserve">Overdue</t>
  </si>
  <si>
    <t xml:space="preserve">A content item or task is Overdue when its date is before the report date and it is not Live, Done or (for tasks) Done.</t>
  </si>
  <si>
    <t xml:space="preserve">Checks</t>
  </si>
  <si>
    <t xml:space="preserve">Data check</t>
  </si>
  <si>
    <t xml:space="preserve">Performance rows say Check numbers if Clicks are more than Impressions, Applications are more than Careers page visits, or any number is negative.</t>
  </si>
  <si>
    <t xml:space="preserve">ID check</t>
  </si>
  <si>
    <t xml:space="preserve">Flags a Campaign ID that is repeated on Campaigns, or used on another sheet but not listed on Campaigns.</t>
  </si>
  <si>
    <t xml:space="preserve">Other rows</t>
  </si>
  <si>
    <t xml:space="preserve">Anything on a channel or campaign that is not listed on Settings or Campaigns lands in the Other row, so Dashboard totals always match the data sheets.</t>
  </si>
  <si>
    <t xml:space="preserve">IMPORTANT</t>
  </si>
  <si>
    <t xml:space="preserve">Every row in this file is SAMPLE DATA for a fictional company. Delete the sample rows and enter your own before drawing any conclusion. The targets on Settings are assumptions, not industry figures.</t>
  </si>
  <si>
    <t xml:space="preserve">Colour legend</t>
  </si>
  <si>
    <t xml:space="preserve">Blue text, yellow cell</t>
  </si>
  <si>
    <t xml:space="preserve">Type here (inputs).</t>
  </si>
  <si>
    <t xml:space="preserve">Black text</t>
  </si>
  <si>
    <t xml:space="preserve">Formula. Do not type here.</t>
  </si>
  <si>
    <t xml:space="preserve">Every number here is a formula built from the other sheets. Change an entry and this page and its charts update.</t>
  </si>
  <si>
    <t xml:space="preserve">Headline numbers</t>
  </si>
  <si>
    <t xml:space="preserve">Impressions / sends</t>
  </si>
  <si>
    <t xml:space="preserve">Clicks</t>
  </si>
  <si>
    <t xml:space="preserve">Careers page visits</t>
  </si>
  <si>
    <t xml:space="preserve">Applications</t>
  </si>
  <si>
    <t xml:space="preserve">Results by channel</t>
  </si>
  <si>
    <t xml:space="preserve">Channel</t>
  </si>
  <si>
    <t xml:space="preserve">Other (not on Settings list)</t>
  </si>
  <si>
    <t xml:space="preserve">Total</t>
  </si>
  <si>
    <t xml:space="preserve">Results by campaign</t>
  </si>
  <si>
    <t xml:space="preserve">Campaign ID</t>
  </si>
  <si>
    <t xml:space="preserve">Campaign</t>
  </si>
  <si>
    <t xml:space="preserve">Content items</t>
  </si>
  <si>
    <t xml:space="preserve">Live or done</t>
  </si>
  <si>
    <t xml:space="preserve">Other</t>
  </si>
  <si>
    <t xml:space="preserve">Not in the first 8 campaigns</t>
  </si>
  <si>
    <t xml:space="preserve">Work status</t>
  </si>
  <si>
    <t xml:space="preserve">Item</t>
  </si>
  <si>
    <t xml:space="preserve">Count</t>
  </si>
  <si>
    <t xml:space="preserve">Content: planned</t>
  </si>
  <si>
    <t xml:space="preserve">Content: in review</t>
  </si>
  <si>
    <t xml:space="preserve">Content: live</t>
  </si>
  <si>
    <t xml:space="preserve">Content: done</t>
  </si>
  <si>
    <t xml:space="preserve">Content: no status or other</t>
  </si>
  <si>
    <t xml:space="preserve">Content: overdue</t>
  </si>
  <si>
    <t xml:space="preserve">Careers page checks: pass</t>
  </si>
  <si>
    <t xml:space="preserve">Careers page checks: needs update</t>
  </si>
  <si>
    <t xml:space="preserve">Careers page checks: fail</t>
  </si>
  <si>
    <t xml:space="preserve">Careers page checks: pass rate</t>
  </si>
  <si>
    <t xml:space="preserve">Tasks: open</t>
  </si>
  <si>
    <t xml:space="preserve">Tasks: overdue</t>
  </si>
  <si>
    <t xml:space="preserve">Change the yellow cells. Everything else updates.</t>
  </si>
  <si>
    <t xml:space="preserve">Setting</t>
  </si>
  <si>
    <t xml:space="preserve">Value</t>
  </si>
  <si>
    <t xml:space="preserve">Note</t>
  </si>
  <si>
    <t xml:space="preserve">Channel names</t>
  </si>
  <si>
    <t xml:space="preserve">Report date</t>
  </si>
  <si>
    <t xml:space="preserve">Used to flag overdue content and tasks. Update each time you refresh the report.</t>
  </si>
  <si>
    <t xml:space="preserve">LinkedIn</t>
  </si>
  <si>
    <t xml:space="preserve">Target CTR (clicks / impressions)</t>
  </si>
  <si>
    <t xml:space="preserve">Author's assumption. Set your own goal.</t>
  </si>
  <si>
    <t xml:space="preserve">Instagram</t>
  </si>
  <si>
    <t xml:space="preserve">Target visit-to-apply rate</t>
  </si>
  <si>
    <t xml:space="preserve">Email</t>
  </si>
  <si>
    <t xml:space="preserve">Careers Website</t>
  </si>
  <si>
    <t xml:space="preserve">These names fill the Channel dropdowns and the Dashboard channel table.</t>
  </si>
  <si>
    <t xml:space="preserve">One row per campaign. The Campaign ID is used on every other sheet.</t>
  </si>
  <si>
    <t xml:space="preserve">SAMPLE DATA: made-up entries for a fictional company, to show how the tracker works. Replace with your own.</t>
  </si>
  <si>
    <t xml:space="preserve">Campaign name</t>
  </si>
  <si>
    <t xml:space="preserve">Goal</t>
  </si>
  <si>
    <t xml:space="preserve">Start</t>
  </si>
  <si>
    <t xml:space="preserve">End</t>
  </si>
  <si>
    <t xml:space="preserve">Status</t>
  </si>
  <si>
    <t xml:space="preserve">C01</t>
  </si>
  <si>
    <t xml:space="preserve">Graduate Hiring Drive</t>
  </si>
  <si>
    <t xml:space="preserve">Get more graduates to start an application</t>
  </si>
  <si>
    <t xml:space="preserve">Live</t>
  </si>
  <si>
    <t xml:space="preserve">C02</t>
  </si>
  <si>
    <t xml:space="preserve">Employee Stories Series</t>
  </si>
  <si>
    <t xml:space="preserve">Show real employee experiences on social and email</t>
  </si>
  <si>
    <t xml:space="preserve">C03</t>
  </si>
  <si>
    <t xml:space="preserve">Campus Careers Week</t>
  </si>
  <si>
    <t xml:space="preserve">Promote campus events and the careers site</t>
  </si>
  <si>
    <t xml:space="preserve">Done</t>
  </si>
  <si>
    <t xml:space="preserve">C04</t>
  </si>
  <si>
    <t xml:space="preserve">Careers Site Refresh</t>
  </si>
  <si>
    <t xml:space="preserve">Update careers pages and measure candidate visits</t>
  </si>
  <si>
    <t xml:space="preserve">Content Calendar</t>
  </si>
  <si>
    <t xml:space="preserve">One row per piece of content. Overdue is worked out from the report date on Settings.</t>
  </si>
  <si>
    <t xml:space="preserve">Publish date</t>
  </si>
  <si>
    <t xml:space="preserve">Content type</t>
  </si>
  <si>
    <t xml:space="preserve">Topic</t>
  </si>
  <si>
    <t xml:space="preserve">Owner</t>
  </si>
  <si>
    <t xml:space="preserve">Overdue?</t>
  </si>
  <si>
    <t xml:space="preserve">Web page update</t>
  </si>
  <si>
    <t xml:space="preserve">Life as a graduate</t>
  </si>
  <si>
    <t xml:space="preserve">Priya</t>
  </si>
  <si>
    <t xml:space="preserve">Employee story</t>
  </si>
  <si>
    <t xml:space="preserve">Day in the life</t>
  </si>
  <si>
    <t xml:space="preserve">Rahul</t>
  </si>
  <si>
    <t xml:space="preserve">Video</t>
  </si>
  <si>
    <t xml:space="preserve">Meet the team</t>
  </si>
  <si>
    <t xml:space="preserve">Neha</t>
  </si>
  <si>
    <t xml:space="preserve">How to apply</t>
  </si>
  <si>
    <t xml:space="preserve">Aman</t>
  </si>
  <si>
    <t xml:space="preserve">Post</t>
  </si>
  <si>
    <t xml:space="preserve">Interview tips</t>
  </si>
  <si>
    <t xml:space="preserve">Campus event recap</t>
  </si>
  <si>
    <t xml:space="preserve">Career paths</t>
  </si>
  <si>
    <t xml:space="preserve">In review</t>
  </si>
  <si>
    <t xml:space="preserve">Benefits overview</t>
  </si>
  <si>
    <t xml:space="preserve">FAQ update</t>
  </si>
  <si>
    <t xml:space="preserve">Team spotlight</t>
  </si>
  <si>
    <t xml:space="preserve">One row per campaign, channel and week. CTR, visit-to-apply rate and Result are formulas.</t>
  </si>
  <si>
    <t xml:space="preserve">Week starting</t>
  </si>
  <si>
    <t xml:space="preserve">Careers Website Quality Check</t>
  </si>
  <si>
    <t xml:space="preserve">One row per check. Mark each Pass, Needs update or Fail, and add a note for anything not passing.</t>
  </si>
  <si>
    <t xml:space="preserve">Page</t>
  </si>
  <si>
    <t xml:space="preserve">Check</t>
  </si>
  <si>
    <t xml:space="preserve">Date checked</t>
  </si>
  <si>
    <t xml:space="preserve">Notes</t>
  </si>
  <si>
    <t xml:space="preserve">Home page</t>
  </si>
  <si>
    <t xml:space="preserve">Apply button works and opens the right page</t>
  </si>
  <si>
    <t xml:space="preserve">Pass</t>
  </si>
  <si>
    <t xml:space="preserve">Page loads correctly on a phone</t>
  </si>
  <si>
    <t xml:space="preserve">Graduate page</t>
  </si>
  <si>
    <t xml:space="preserve">Closing dates are correct and current</t>
  </si>
  <si>
    <t xml:space="preserve">Needs update</t>
  </si>
  <si>
    <t xml:space="preserve">Update before next campaign push</t>
  </si>
  <si>
    <t xml:space="preserve">Role descriptions match the latest job posts</t>
  </si>
  <si>
    <t xml:space="preserve">Spelling and grammar checked</t>
  </si>
  <si>
    <t xml:space="preserve">Life at the company</t>
  </si>
  <si>
    <t xml:space="preserve">Employee story links open correctly</t>
  </si>
  <si>
    <t xml:space="preserve">Photos have the right captions</t>
  </si>
  <si>
    <t xml:space="preserve">Employee consent noted for every story</t>
  </si>
  <si>
    <t xml:space="preserve">FAQ</t>
  </si>
  <si>
    <t xml:space="preserve">Answers match the current hiring process</t>
  </si>
  <si>
    <t xml:space="preserve">Contact email is correct</t>
  </si>
  <si>
    <t xml:space="preserve">Application form</t>
  </si>
  <si>
    <t xml:space="preserve">Form submits and confirmation message appears</t>
  </si>
  <si>
    <t xml:space="preserve">Required fields are clearly marked</t>
  </si>
  <si>
    <t xml:space="preserve">Campus page</t>
  </si>
  <si>
    <t xml:space="preserve">Event dates and venues are correct</t>
  </si>
  <si>
    <t xml:space="preserve">Fail</t>
  </si>
  <si>
    <t xml:space="preserve">Wrong dates shown; raise with web team</t>
  </si>
  <si>
    <t xml:space="preserve">Registration link works</t>
  </si>
  <si>
    <t xml:space="preserve">All pages</t>
  </si>
  <si>
    <t xml:space="preserve">Footer links and privacy notice work</t>
  </si>
  <si>
    <t xml:space="preserve">Tasks and Follow-ups</t>
  </si>
  <si>
    <t xml:space="preserve">One row per task with a recruiter, agency, supplier or internal team. Overdue uses the report date on Settings.</t>
  </si>
  <si>
    <t xml:space="preserve">Task</t>
  </si>
  <si>
    <t xml:space="preserve">Partner type</t>
  </si>
  <si>
    <t xml:space="preserve">Contact / team</t>
  </si>
  <si>
    <t xml:space="preserve">Due date</t>
  </si>
  <si>
    <t xml:space="preserve">Days overdue</t>
  </si>
  <si>
    <t xml:space="preserve">Confirm event dates for campus week</t>
  </si>
  <si>
    <t xml:space="preserve">Recruiter</t>
  </si>
  <si>
    <t xml:space="preserve">Campus hiring team</t>
  </si>
  <si>
    <t xml:space="preserve">Get approved photos for employee stories</t>
  </si>
  <si>
    <t xml:space="preserve">Internal</t>
  </si>
  <si>
    <t xml:space="preserve">Communications</t>
  </si>
  <si>
    <t xml:space="preserve">Receive final video edit for graduate drive</t>
  </si>
  <si>
    <t xml:space="preserve">Supplier</t>
  </si>
  <si>
    <t xml:space="preserve">Video editor</t>
  </si>
  <si>
    <t xml:space="preserve">Share draft email copy for review</t>
  </si>
  <si>
    <t xml:space="preserve">Brand team</t>
  </si>
  <si>
    <t xml:space="preserve">Get consent form back from featured employee</t>
  </si>
  <si>
    <t xml:space="preserve">HR partner</t>
  </si>
  <si>
    <t xml:space="preserve">Open</t>
  </si>
  <si>
    <t xml:space="preserve">Send updated job descriptions for careers page</t>
  </si>
  <si>
    <t xml:space="preserve">Talent acquisition</t>
  </si>
  <si>
    <t xml:space="preserve">Approve social ad creatives</t>
  </si>
  <si>
    <t xml:space="preserve">Agency</t>
  </si>
  <si>
    <t xml:space="preserve">Social media agency</t>
  </si>
  <si>
    <t xml:space="preserve">Fix wrong event dates on campus page</t>
  </si>
  <si>
    <t xml:space="preserve">Web team</t>
  </si>
  <si>
    <t xml:space="preserve">Send weekly results summary</t>
  </si>
  <si>
    <t xml:space="preserve">Campaign manager</t>
  </si>
  <si>
    <t xml:space="preserve">Book photographer for next story shoot</t>
  </si>
  <si>
    <t xml:space="preserve">Photography vendor</t>
  </si>
  <si>
    <t xml:space="preserve">Review FAQ answers with recruiters</t>
  </si>
  <si>
    <t xml:space="preserve">Share November content calendar</t>
  </si>
</sst>
</file>

<file path=xl/styles.xml><?xml version="1.0" encoding="utf-8"?>
<styleSheet xmlns="http://schemas.openxmlformats.org/spreadsheetml/2006/main">
  <numFmts count="6">
    <numFmt numFmtId="164" formatCode="General"/>
    <numFmt numFmtId="165" formatCode="#,##0"/>
    <numFmt numFmtId="166" formatCode="0.0%;\(0.0%\);\-"/>
    <numFmt numFmtId="167" formatCode="dd\-mmm\-yyyy"/>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C00000"/>
      <name val="Arial"/>
      <family val="0"/>
      <charset val="1"/>
    </font>
  </fonts>
  <fills count="4">
    <fill>
      <patternFill patternType="none"/>
    </fill>
    <fill>
      <patternFill patternType="gray125"/>
    </fill>
    <fill>
      <patternFill patternType="solid">
        <fgColor rgb="FFFFF2CC"/>
        <bgColor rgb="FFFFEB9C"/>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color rgb="FF9C0006"/>
      </font>
      <fill>
        <patternFill>
          <bgColor rgb="FFFFC7CE"/>
        </patternFill>
      </fill>
    </dxf>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C7CE"/>
          <bgColor rgb="FF000000"/>
        </patternFill>
      </fill>
    </dxf>
    <dxf>
      <fill>
        <patternFill patternType="solid">
          <bgColor rgb="FF000000"/>
        </patternFill>
      </fill>
    </dxf>
    <dxf>
      <fill>
        <patternFill patternType="solid">
          <fgColor rgb="FF9C0006"/>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F81BD"/>
      <rgbColor rgb="FF969696"/>
      <rgbColor rgb="FF1F3864"/>
      <rgbColor rgb="FF339966"/>
      <rgbColor rgb="FF003300"/>
      <rgbColor rgb="FF333300"/>
      <rgbColor rgb="FF9C57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Applications by channel</a:t>
            </a:r>
          </a:p>
        </c:rich>
      </c:tx>
      <c:overlay val="0"/>
      <c:spPr>
        <a:noFill/>
        <a:ln w="0">
          <a:noFill/>
        </a:ln>
      </c:spPr>
    </c:title>
    <c:autoTitleDeleted val="0"/>
    <c:plotArea>
      <c:barChart>
        <c:barDir val="col"/>
        <c:grouping val="clustered"/>
        <c:varyColors val="0"/>
        <c:ser>
          <c:idx val="0"/>
          <c:order val="0"/>
          <c:tx>
            <c:strRef>
              <c:f>Dashboard!F10</c:f>
              <c:strCache>
                <c:ptCount val="1"/>
                <c:pt idx="0">
                  <c:v>Applications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Dashboard!$A$11:$A$14</c:f>
              <c:strCache>
                <c:ptCount val="4"/>
                <c:pt idx="0">
                  <c:v>LinkedIn</c:v>
                </c:pt>
                <c:pt idx="1">
                  <c:v>Instagram</c:v>
                </c:pt>
                <c:pt idx="2">
                  <c:v>Email</c:v>
                </c:pt>
                <c:pt idx="3">
                  <c:v>Careers Website</c:v>
                </c:pt>
              </c:strCache>
            </c:strRef>
          </c:cat>
          <c:val>
            <c:numRef>
              <c:f>Dashboard!$F$11:$F$14</c:f>
              <c:numCache>
                <c:formatCode>#,##0</c:formatCode>
                <c:ptCount val="4"/>
                <c:pt idx="0">
                  <c:v>71</c:v>
                </c:pt>
                <c:pt idx="1">
                  <c:v>19</c:v>
                </c:pt>
                <c:pt idx="2">
                  <c:v>103</c:v>
                </c:pt>
                <c:pt idx="3">
                  <c:v>65</c:v>
                </c:pt>
              </c:numCache>
            </c:numRef>
          </c:val>
        </c:ser>
        <c:gapWidth val="150"/>
        <c:overlap val="0"/>
        <c:axId val="55317224"/>
        <c:axId val="89214591"/>
      </c:barChart>
      <c:catAx>
        <c:axId val="553172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214591"/>
        <c:crosses val="autoZero"/>
        <c:auto val="1"/>
        <c:lblAlgn val="ctr"/>
        <c:lblOffset val="100"/>
        <c:noMultiLvlLbl val="0"/>
      </c:catAx>
      <c:valAx>
        <c:axId val="89214591"/>
        <c:scaling>
          <c:orientation val="minMax"/>
          <c:min val="0"/>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172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Click-through rate by channel</a:t>
            </a:r>
          </a:p>
        </c:rich>
      </c:tx>
      <c:overlay val="0"/>
      <c:spPr>
        <a:noFill/>
        <a:ln w="0">
          <a:noFill/>
        </a:ln>
      </c:spPr>
    </c:title>
    <c:autoTitleDeleted val="0"/>
    <c:plotArea>
      <c:barChart>
        <c:barDir val="col"/>
        <c:grouping val="clustered"/>
        <c:varyColors val="0"/>
        <c:ser>
          <c:idx val="0"/>
          <c:order val="0"/>
          <c:tx>
            <c:strRef>
              <c:f>Dashboard!D10</c:f>
              <c:strCache>
                <c:ptCount val="1"/>
                <c:pt idx="0">
                  <c:v>CTR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Dashboard!$A$11:$A$14</c:f>
              <c:strCache>
                <c:ptCount val="4"/>
                <c:pt idx="0">
                  <c:v>LinkedIn</c:v>
                </c:pt>
                <c:pt idx="1">
                  <c:v>Instagram</c:v>
                </c:pt>
                <c:pt idx="2">
                  <c:v>Email</c:v>
                </c:pt>
                <c:pt idx="3">
                  <c:v>Careers Website</c:v>
                </c:pt>
              </c:strCache>
            </c:strRef>
          </c:cat>
          <c:val>
            <c:numRef>
              <c:f>Dashboard!$D$11:$D$14</c:f>
              <c:numCache>
                <c:formatCode>0.0%;\(0.0%\);\-</c:formatCode>
                <c:ptCount val="4"/>
                <c:pt idx="0">
                  <c:v>0.020779054916986</c:v>
                </c:pt>
                <c:pt idx="1">
                  <c:v>0.0129496993453322</c:v>
                </c:pt>
                <c:pt idx="2">
                  <c:v>0.0477773504038683</c:v>
                </c:pt>
                <c:pt idx="3">
                  <c:v>0.0262257696693273</c:v>
                </c:pt>
              </c:numCache>
            </c:numRef>
          </c:val>
        </c:ser>
        <c:gapWidth val="150"/>
        <c:overlap val="0"/>
        <c:axId val="21561180"/>
        <c:axId val="71217091"/>
      </c:barChart>
      <c:catAx>
        <c:axId val="215611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17091"/>
        <c:crosses val="autoZero"/>
        <c:auto val="1"/>
        <c:lblAlgn val="ctr"/>
        <c:lblOffset val="100"/>
        <c:noMultiLvlLbl val="0"/>
      </c:catAx>
      <c:valAx>
        <c:axId val="71217091"/>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611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160920</xdr:rowOff>
    </xdr:from>
    <xdr:to>
      <xdr:col>17</xdr:col>
      <xdr:colOff>399240</xdr:colOff>
      <xdr:row>14</xdr:row>
      <xdr:rowOff>165960</xdr:rowOff>
    </xdr:to>
    <xdr:graphicFrame>
      <xdr:nvGraphicFramePr>
        <xdr:cNvPr id="0" name="Chart 1"/>
        <xdr:cNvGraphicFramePr/>
      </xdr:nvGraphicFramePr>
      <xdr:xfrm>
        <a:off x="12735000" y="76212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18</xdr:row>
      <xdr:rowOff>370080</xdr:rowOff>
    </xdr:from>
    <xdr:to>
      <xdr:col>17</xdr:col>
      <xdr:colOff>399240</xdr:colOff>
      <xdr:row>31</xdr:row>
      <xdr:rowOff>203760</xdr:rowOff>
    </xdr:to>
    <xdr:graphicFrame>
      <xdr:nvGraphicFramePr>
        <xdr:cNvPr id="1" name="Chart 2"/>
        <xdr:cNvGraphicFramePr/>
      </xdr:nvGraphicFramePr>
      <xdr:xfrm>
        <a:off x="12735000" y="4248000"/>
        <a:ext cx="46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5.05" hidden="false" customHeight="false" outlineLevel="0" collapsed="false">
      <c r="A5" s="4"/>
      <c r="B5" s="5" t="s">
        <v>3</v>
      </c>
    </row>
    <row r="6" customFormat="false" ht="15" hidden="false" customHeight="false" outlineLevel="0" collapsed="false">
      <c r="A6" s="3" t="s">
        <v>4</v>
      </c>
    </row>
    <row r="7" customFormat="false" ht="15" hidden="false" customHeight="false" outlineLevel="0" collapsed="false">
      <c r="A7" s="3" t="s">
        <v>5</v>
      </c>
      <c r="B7" s="5" t="s">
        <v>6</v>
      </c>
    </row>
    <row r="8" customFormat="false" ht="15" hidden="false" customHeight="false" outlineLevel="0" collapsed="false">
      <c r="A8" s="3" t="s">
        <v>7</v>
      </c>
      <c r="B8" s="5" t="s">
        <v>8</v>
      </c>
    </row>
    <row r="9" customFormat="false" ht="15" hidden="false" customHeight="false" outlineLevel="0" collapsed="false">
      <c r="A9" s="3" t="s">
        <v>9</v>
      </c>
      <c r="B9" s="5" t="s">
        <v>10</v>
      </c>
    </row>
    <row r="10" customFormat="false" ht="15" hidden="false" customHeight="false" outlineLevel="0" collapsed="false">
      <c r="A10" s="3" t="s">
        <v>11</v>
      </c>
      <c r="B10" s="5" t="s">
        <v>12</v>
      </c>
    </row>
    <row r="11" customFormat="false" ht="15" hidden="false" customHeight="false" outlineLevel="0" collapsed="false">
      <c r="A11" s="3" t="s">
        <v>13</v>
      </c>
      <c r="B11" s="5" t="s">
        <v>14</v>
      </c>
    </row>
    <row r="12" customFormat="false" ht="15" hidden="false" customHeight="false" outlineLevel="0" collapsed="false">
      <c r="A12" s="3" t="s">
        <v>15</v>
      </c>
      <c r="B12" s="5" t="s">
        <v>16</v>
      </c>
    </row>
    <row r="13" customFormat="false" ht="15" hidden="false" customHeight="false" outlineLevel="0" collapsed="false">
      <c r="A13" s="3" t="s">
        <v>17</v>
      </c>
      <c r="B13" s="5" t="s">
        <v>18</v>
      </c>
    </row>
    <row r="14" customFormat="false" ht="15" hidden="false" customHeight="false" outlineLevel="0" collapsed="false">
      <c r="A14" s="3" t="s">
        <v>19</v>
      </c>
    </row>
    <row r="15" customFormat="false" ht="15" hidden="false" customHeight="false" outlineLevel="0" collapsed="false">
      <c r="A15" s="3" t="s">
        <v>20</v>
      </c>
      <c r="B15" s="5" t="s">
        <v>21</v>
      </c>
    </row>
    <row r="16" customFormat="false" ht="15" hidden="false" customHeight="false" outlineLevel="0" collapsed="false">
      <c r="A16" s="3" t="s">
        <v>22</v>
      </c>
      <c r="B16" s="5" t="s">
        <v>23</v>
      </c>
    </row>
    <row r="17" customFormat="false" ht="15" hidden="false" customHeight="false" outlineLevel="0" collapsed="false">
      <c r="A17" s="3" t="s">
        <v>24</v>
      </c>
      <c r="B17" s="5" t="s">
        <v>25</v>
      </c>
    </row>
    <row r="18" customFormat="false" ht="15" hidden="false" customHeight="false" outlineLevel="0" collapsed="false">
      <c r="A18" s="3" t="s">
        <v>26</v>
      </c>
      <c r="B18" s="5" t="s">
        <v>27</v>
      </c>
    </row>
    <row r="19" customFormat="false" ht="15" hidden="false" customHeight="false" outlineLevel="0" collapsed="false">
      <c r="A19" s="3" t="s">
        <v>28</v>
      </c>
    </row>
    <row r="20" customFormat="false" ht="15" hidden="false" customHeight="false" outlineLevel="0" collapsed="false">
      <c r="A20" s="3" t="s">
        <v>29</v>
      </c>
      <c r="B20" s="5" t="s">
        <v>30</v>
      </c>
    </row>
    <row r="21" customFormat="false" ht="15" hidden="false" customHeight="false" outlineLevel="0" collapsed="false">
      <c r="A21" s="3" t="s">
        <v>31</v>
      </c>
      <c r="B21" s="5" t="s">
        <v>32</v>
      </c>
    </row>
    <row r="22" customFormat="false" ht="15" hidden="false" customHeight="false" outlineLevel="0" collapsed="false">
      <c r="A22" s="3" t="s">
        <v>33</v>
      </c>
      <c r="B22" s="5" t="s">
        <v>34</v>
      </c>
    </row>
    <row r="23" customFormat="false" ht="15" hidden="false" customHeight="false" outlineLevel="0" collapsed="false">
      <c r="A23" s="3" t="s">
        <v>35</v>
      </c>
      <c r="B23" s="5" t="s">
        <v>36</v>
      </c>
    </row>
    <row r="24" customFormat="false" ht="15" hidden="false" customHeight="false" outlineLevel="0" collapsed="false">
      <c r="A24" s="3" t="s">
        <v>37</v>
      </c>
    </row>
    <row r="25" customFormat="false" ht="23.85" hidden="false" customHeight="false" outlineLevel="0" collapsed="false">
      <c r="A25" s="3" t="s">
        <v>38</v>
      </c>
      <c r="B25" s="5" t="s">
        <v>39</v>
      </c>
    </row>
    <row r="26" customFormat="false" ht="15" hidden="false" customHeight="false" outlineLevel="0" collapsed="false">
      <c r="A26" s="3" t="s">
        <v>40</v>
      </c>
      <c r="B26" s="5" t="s">
        <v>41</v>
      </c>
    </row>
    <row r="27" customFormat="false" ht="23.85" hidden="false" customHeight="false" outlineLevel="0" collapsed="false">
      <c r="A27" s="3" t="s">
        <v>42</v>
      </c>
      <c r="B27" s="5" t="s">
        <v>43</v>
      </c>
    </row>
    <row r="28" customFormat="false" ht="15" hidden="false" customHeight="false" outlineLevel="0" collapsed="false">
      <c r="A28" s="3" t="s">
        <v>44</v>
      </c>
    </row>
    <row r="29" customFormat="false" ht="23.85" hidden="false" customHeight="false" outlineLevel="0" collapsed="false">
      <c r="A29" s="4"/>
      <c r="B29" s="5" t="s">
        <v>45</v>
      </c>
    </row>
    <row r="31" customFormat="false" ht="15" hidden="false" customHeight="false" outlineLevel="0" collapsed="false">
      <c r="A31" s="3" t="s">
        <v>46</v>
      </c>
    </row>
    <row r="32" customFormat="false" ht="15" hidden="false" customHeight="false" outlineLevel="0" collapsed="false">
      <c r="A32" s="6" t="s">
        <v>47</v>
      </c>
      <c r="B32" s="4" t="s">
        <v>48</v>
      </c>
    </row>
    <row r="33" customFormat="false" ht="15" hidden="false" customHeight="false" outlineLevel="0" collapsed="false">
      <c r="A33" s="4" t="s">
        <v>49</v>
      </c>
      <c r="B33" s="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8"/>
    <col collapsed="false" customWidth="true" hidden="false" outlineLevel="0" max="9" min="3" style="0" width="16"/>
  </cols>
  <sheetData>
    <row r="1" customFormat="false" ht="17.35" hidden="false" customHeight="false" outlineLevel="0" collapsed="false">
      <c r="A1" s="1" t="s">
        <v>5</v>
      </c>
    </row>
    <row r="2" customFormat="false" ht="15" hidden="false" customHeight="false" outlineLevel="0" collapsed="false">
      <c r="A2" s="2" t="s">
        <v>51</v>
      </c>
    </row>
    <row r="3" customFormat="false" ht="15" hidden="false" customHeight="false" outlineLevel="0" collapsed="false">
      <c r="A3" s="3" t="str">
        <f aca="false">IF(COUNTIF(Performance!$L$5:$L$304,"Check numbers")+COUNTIF(Content_Calendar!$I$5:$I$304,"ID not found")+COUNTIF(Performance!$H$5:$H$304,"ID not found")+COUNTIF(Campaigns!$G$5:$G$24,"Duplicate ID")=0,"Data check: all rows OK","Data check: "&amp;(COUNTIF(Performance!$L$5:$L$304,"Check numbers")+COUNTIF(Content_Calendar!$I$5:$I$304,"ID not found")+COUNTIF(Performance!$H$5:$H$304,"ID not found")+COUNTIF(Campaigns!$G$5:$G$24,"Duplicate ID"))&amp;" item(s) need checking (see the Check numbers and ID not found flags)")</f>
        <v>Data check: all rows OK</v>
      </c>
    </row>
    <row r="5" customFormat="false" ht="15" hidden="false" customHeight="false" outlineLevel="0" collapsed="false">
      <c r="A5" s="3" t="s">
        <v>52</v>
      </c>
    </row>
    <row r="6" customFormat="false" ht="31.5" hidden="false" customHeight="true" outlineLevel="0" collapsed="false">
      <c r="A6" s="7" t="s">
        <v>53</v>
      </c>
      <c r="B6" s="7" t="s">
        <v>54</v>
      </c>
      <c r="C6" s="7" t="s">
        <v>29</v>
      </c>
      <c r="D6" s="7" t="s">
        <v>55</v>
      </c>
      <c r="E6" s="7" t="s">
        <v>56</v>
      </c>
      <c r="F6" s="7" t="s">
        <v>31</v>
      </c>
    </row>
    <row r="7" customFormat="false" ht="15" hidden="false" customHeight="false" outlineLevel="0" collapsed="false">
      <c r="A7" s="8" t="n">
        <f aca="false">SUM(Performance!$D$5:$D$304)</f>
        <v>258582</v>
      </c>
      <c r="B7" s="8" t="n">
        <f aca="false">SUM(Performance!$E$5:$E$304)</f>
        <v>7277</v>
      </c>
      <c r="C7" s="9" t="n">
        <f aca="false">IF(A7&gt;0,B7/A7,0)</f>
        <v>0.0281419433680612</v>
      </c>
      <c r="D7" s="8" t="n">
        <f aca="false">SUM(Performance!$F$5:$F$304)</f>
        <v>5933</v>
      </c>
      <c r="E7" s="8" t="n">
        <f aca="false">SUM(Performance!$G$5:$G$304)</f>
        <v>258</v>
      </c>
      <c r="F7" s="9" t="n">
        <f aca="false">IF(D7&gt;0,E7/D7,0)</f>
        <v>0.0434855890780381</v>
      </c>
    </row>
    <row r="9" customFormat="false" ht="15" hidden="false" customHeight="false" outlineLevel="0" collapsed="false">
      <c r="A9" s="3" t="s">
        <v>57</v>
      </c>
    </row>
    <row r="10" customFormat="false" ht="31.5" hidden="false" customHeight="true" outlineLevel="0" collapsed="false">
      <c r="A10" s="7" t="s">
        <v>58</v>
      </c>
      <c r="B10" s="7" t="s">
        <v>53</v>
      </c>
      <c r="C10" s="7" t="s">
        <v>54</v>
      </c>
      <c r="D10" s="7" t="s">
        <v>29</v>
      </c>
      <c r="E10" s="7" t="s">
        <v>55</v>
      </c>
      <c r="F10" s="7" t="s">
        <v>56</v>
      </c>
      <c r="G10" s="7" t="s">
        <v>31</v>
      </c>
    </row>
    <row r="11" customFormat="false" ht="15" hidden="false" customHeight="false" outlineLevel="0" collapsed="false">
      <c r="A11" s="10" t="str">
        <f aca="false">IF(Settings!$E$5="","",Settings!$E$5)</f>
        <v>LinkedIn</v>
      </c>
      <c r="B11" s="8" t="n">
        <f aca="false">IF($A11="","",SUMIFS(Performance!$D$5:$D$304,Performance!$C$5:$C$304,$A11))</f>
        <v>78300</v>
      </c>
      <c r="C11" s="8" t="n">
        <f aca="false">IF($A11="","",SUMIFS(Performance!$E$5:$E$304,Performance!$C$5:$C$304,$A11))</f>
        <v>1627</v>
      </c>
      <c r="D11" s="9" t="n">
        <f aca="false">IF($A11="","",IF(B11&gt;0,C11/B11,0))</f>
        <v>0.020779054916986</v>
      </c>
      <c r="E11" s="8" t="n">
        <f aca="false">IF($A11="","",SUMIFS(Performance!$F$5:$F$304,Performance!$C$5:$C$304,$A11))</f>
        <v>1440</v>
      </c>
      <c r="F11" s="8" t="n">
        <f aca="false">IF($A11="","",SUMIFS(Performance!$G$5:$G$304,Performance!$C$5:$C$304,$A11))</f>
        <v>71</v>
      </c>
      <c r="G11" s="9" t="n">
        <f aca="false">IF($A11="","",IF(E11&gt;0,F11/E11,0))</f>
        <v>0.0493055555555556</v>
      </c>
    </row>
    <row r="12" customFormat="false" ht="15" hidden="false" customHeight="false" outlineLevel="0" collapsed="false">
      <c r="A12" s="10" t="str">
        <f aca="false">IF(Settings!$E$6="","",Settings!$E$6)</f>
        <v>Instagram</v>
      </c>
      <c r="B12" s="8" t="n">
        <f aca="false">IF($A12="","",SUMIFS(Performance!$D$5:$D$304,Performance!$C$5:$C$304,$A12))</f>
        <v>48727</v>
      </c>
      <c r="C12" s="8" t="n">
        <f aca="false">IF($A12="","",SUMIFS(Performance!$E$5:$E$304,Performance!$C$5:$C$304,$A12))</f>
        <v>631</v>
      </c>
      <c r="D12" s="9" t="n">
        <f aca="false">IF($A12="","",IF(B12&gt;0,C12/B12,0))</f>
        <v>0.0129496993453322</v>
      </c>
      <c r="E12" s="8" t="n">
        <f aca="false">IF($A12="","",SUMIFS(Performance!$F$5:$F$304,Performance!$C$5:$C$304,$A12))</f>
        <v>512</v>
      </c>
      <c r="F12" s="8" t="n">
        <f aca="false">IF($A12="","",SUMIFS(Performance!$G$5:$G$304,Performance!$C$5:$C$304,$A12))</f>
        <v>19</v>
      </c>
      <c r="G12" s="9" t="n">
        <f aca="false">IF($A12="","",IF(E12&gt;0,F12/E12,0))</f>
        <v>0.037109375</v>
      </c>
    </row>
    <row r="13" customFormat="false" ht="15" hidden="false" customHeight="false" outlineLevel="0" collapsed="false">
      <c r="A13" s="10" t="str">
        <f aca="false">IF(Settings!$E$7="","",Settings!$E$7)</f>
        <v>Email</v>
      </c>
      <c r="B13" s="8" t="n">
        <f aca="false">IF($A13="","",SUMIFS(Performance!$D$5:$D$304,Performance!$C$5:$C$304,$A13))</f>
        <v>72796</v>
      </c>
      <c r="C13" s="8" t="n">
        <f aca="false">IF($A13="","",SUMIFS(Performance!$E$5:$E$304,Performance!$C$5:$C$304,$A13))</f>
        <v>3478</v>
      </c>
      <c r="D13" s="9" t="n">
        <f aca="false">IF($A13="","",IF(B13&gt;0,C13/B13,0))</f>
        <v>0.0477773504038683</v>
      </c>
      <c r="E13" s="8" t="n">
        <f aca="false">IF($A13="","",SUMIFS(Performance!$F$5:$F$304,Performance!$C$5:$C$304,$A13))</f>
        <v>2713</v>
      </c>
      <c r="F13" s="8" t="n">
        <f aca="false">IF($A13="","",SUMIFS(Performance!$G$5:$G$304,Performance!$C$5:$C$304,$A13))</f>
        <v>103</v>
      </c>
      <c r="G13" s="9" t="n">
        <f aca="false">IF($A13="","",IF(E13&gt;0,F13/E13,0))</f>
        <v>0.0379653520088463</v>
      </c>
    </row>
    <row r="14" customFormat="false" ht="15" hidden="false" customHeight="false" outlineLevel="0" collapsed="false">
      <c r="A14" s="10" t="str">
        <f aca="false">IF(Settings!$E$8="","",Settings!$E$8)</f>
        <v>Careers Website</v>
      </c>
      <c r="B14" s="8" t="n">
        <f aca="false">IF($A14="","",SUMIFS(Performance!$D$5:$D$304,Performance!$C$5:$C$304,$A14))</f>
        <v>58759</v>
      </c>
      <c r="C14" s="8" t="n">
        <f aca="false">IF($A14="","",SUMIFS(Performance!$E$5:$E$304,Performance!$C$5:$C$304,$A14))</f>
        <v>1541</v>
      </c>
      <c r="D14" s="9" t="n">
        <f aca="false">IF($A14="","",IF(B14&gt;0,C14/B14,0))</f>
        <v>0.0262257696693273</v>
      </c>
      <c r="E14" s="8" t="n">
        <f aca="false">IF($A14="","",SUMIFS(Performance!$F$5:$F$304,Performance!$C$5:$C$304,$A14))</f>
        <v>1268</v>
      </c>
      <c r="F14" s="8" t="n">
        <f aca="false">IF($A14="","",SUMIFS(Performance!$G$5:$G$304,Performance!$C$5:$C$304,$A14))</f>
        <v>65</v>
      </c>
      <c r="G14" s="9" t="n">
        <f aca="false">IF($A14="","",IF(E14&gt;0,F14/E14,0))</f>
        <v>0.0512618296529968</v>
      </c>
    </row>
    <row r="15" customFormat="false" ht="15" hidden="false" customHeight="false" outlineLevel="0" collapsed="false">
      <c r="A15" s="10" t="s">
        <v>59</v>
      </c>
      <c r="B15" s="8" t="n">
        <f aca="false">B16-SUM(B11:B14)</f>
        <v>0</v>
      </c>
      <c r="C15" s="8" t="n">
        <f aca="false">C16-SUM(C11:C14)</f>
        <v>0</v>
      </c>
      <c r="D15" s="9" t="n">
        <f aca="false">IF(FALSE(),"",IF(B15&gt;0,C15/B15,0))</f>
        <v>0</v>
      </c>
      <c r="E15" s="8" t="n">
        <f aca="false">E16-SUM(E11:E14)</f>
        <v>0</v>
      </c>
      <c r="F15" s="8" t="n">
        <f aca="false">F16-SUM(F11:F14)</f>
        <v>0</v>
      </c>
      <c r="G15" s="9" t="n">
        <f aca="false">IF(FALSE(),"",IF(E15&gt;0,F15/E15,0))</f>
        <v>0</v>
      </c>
    </row>
    <row r="16" customFormat="false" ht="15" hidden="false" customHeight="false" outlineLevel="0" collapsed="false">
      <c r="A16" s="11" t="s">
        <v>60</v>
      </c>
      <c r="B16" s="12" t="n">
        <f aca="false">SUM(Performance!$D$5:$D$304)</f>
        <v>258582</v>
      </c>
      <c r="C16" s="12" t="n">
        <f aca="false">SUM(Performance!$E$5:$E$304)</f>
        <v>7277</v>
      </c>
      <c r="D16" s="13" t="n">
        <f aca="false">IF(FALSE(),"",IF(B16&gt;0,C16/B16,0))</f>
        <v>0.0281419433680612</v>
      </c>
      <c r="E16" s="12" t="n">
        <f aca="false">SUM(Performance!$F$5:$F$304)</f>
        <v>5933</v>
      </c>
      <c r="F16" s="12" t="n">
        <f aca="false">SUM(Performance!$G$5:$G$304)</f>
        <v>258</v>
      </c>
      <c r="G16" s="13" t="n">
        <f aca="false">IF(FALSE(),"",IF(E16&gt;0,F16/E16,0))</f>
        <v>0.0434855890780381</v>
      </c>
    </row>
    <row r="18" customFormat="false" ht="15" hidden="false" customHeight="false" outlineLevel="0" collapsed="false">
      <c r="A18" s="3" t="s">
        <v>61</v>
      </c>
    </row>
    <row r="19" customFormat="false" ht="31.5" hidden="false" customHeight="true" outlineLevel="0" collapsed="false">
      <c r="A19" s="7" t="s">
        <v>62</v>
      </c>
      <c r="B19" s="7" t="s">
        <v>63</v>
      </c>
      <c r="C19" s="7" t="s">
        <v>64</v>
      </c>
      <c r="D19" s="7" t="s">
        <v>65</v>
      </c>
      <c r="E19" s="7" t="s">
        <v>53</v>
      </c>
      <c r="F19" s="7" t="s">
        <v>54</v>
      </c>
      <c r="G19" s="7" t="s">
        <v>29</v>
      </c>
      <c r="H19" s="7" t="s">
        <v>56</v>
      </c>
      <c r="I19" s="7" t="s">
        <v>31</v>
      </c>
    </row>
    <row r="20" customFormat="false" ht="15" hidden="false" customHeight="false" outlineLevel="0" collapsed="false">
      <c r="A20" s="10" t="str">
        <f aca="false">IF(Campaigns!A5="","",Campaigns!A5)</f>
        <v>C01</v>
      </c>
      <c r="B20" s="10" t="str">
        <f aca="false">IF($A20="","",IF(COUNTIF($A$20:$A20,$A20)&gt;1,"Duplicate ID, see Campaigns",Campaigns!B5))</f>
        <v>Graduate Hiring Drive</v>
      </c>
      <c r="C20" s="8" t="n">
        <f aca="false">IF($A20="","",IF(COUNTIF($A$20:$A20,$A20)&gt;1,0,COUNTIFS(Content_Calendar!$B$5:$B$304,$A20)))</f>
        <v>7</v>
      </c>
      <c r="D20" s="8" t="n">
        <f aca="false">IF($A20="","",IF(COUNTIF($A$20:$A20,$A20)&gt;1,0,COUNTIFS(Content_Calendar!$B$5:$B$304,$A20,Content_Calendar!$G$5:$G$304,"Live")+COUNTIFS(Content_Calendar!$B$5:$B$304,$A20,Content_Calendar!$G$5:$G$304,"Done")))</f>
        <v>7</v>
      </c>
      <c r="E20" s="8" t="n">
        <f aca="false">IF($A20="","",IF(COUNTIF($A$20:$A20,$A20)&gt;1,0,SUMIFS(Performance!$D$5:$D$304,Performance!$B$5:$B$304,$A20)))</f>
        <v>62827</v>
      </c>
      <c r="F20" s="8" t="n">
        <f aca="false">IF($A20="","",IF(COUNTIF($A$20:$A20,$A20)&gt;1,0,SUMIFS(Performance!$E$5:$E$304,Performance!$B$5:$B$304,$A20)))</f>
        <v>1587</v>
      </c>
      <c r="G20" s="9" t="n">
        <f aca="false">IF($A20="","",IF(E20&gt;0,F20/E20,0))</f>
        <v>0.0252598405144285</v>
      </c>
      <c r="H20" s="8" t="n">
        <f aca="false">IF($A20="","",IF(COUNTIF($A$20:$A20,$A20)&gt;1,0,SUMIFS(Performance!$G$5:$G$304,Performance!$B$5:$B$304,$A20)))</f>
        <v>65</v>
      </c>
      <c r="I20" s="9" t="n">
        <f aca="false">IF($A20="","",IF(COUNTIF($A$20:$A20,$A20)&gt;1,0,IF(SUMIFS(Performance!$F$5:$F$304,Performance!$B$5:$B$304,$A20)&gt;0,H20/SUMIFS(Performance!$F$5:$F$304,Performance!$B$5:$B$304,$A20),0)))</f>
        <v>0.0530612244897959</v>
      </c>
    </row>
    <row r="21" customFormat="false" ht="15" hidden="false" customHeight="false" outlineLevel="0" collapsed="false">
      <c r="A21" s="10" t="str">
        <f aca="false">IF(Campaigns!A6="","",Campaigns!A6)</f>
        <v>C02</v>
      </c>
      <c r="B21" s="10" t="str">
        <f aca="false">IF($A21="","",IF(COUNTIF($A$20:$A21,$A21)&gt;1,"Duplicate ID, see Campaigns",Campaigns!B6))</f>
        <v>Employee Stories Series</v>
      </c>
      <c r="C21" s="8" t="n">
        <f aca="false">IF($A21="","",IF(COUNTIF($A$20:$A21,$A21)&gt;1,0,COUNTIFS(Content_Calendar!$B$5:$B$304,$A21)))</f>
        <v>7</v>
      </c>
      <c r="D21" s="8" t="n">
        <f aca="false">IF($A21="","",IF(COUNTIF($A$20:$A21,$A21)&gt;1,0,COUNTIFS(Content_Calendar!$B$5:$B$304,$A21,Content_Calendar!$G$5:$G$304,"Live")+COUNTIFS(Content_Calendar!$B$5:$B$304,$A21,Content_Calendar!$G$5:$G$304,"Done")))</f>
        <v>6</v>
      </c>
      <c r="E21" s="8" t="n">
        <f aca="false">IF($A21="","",IF(COUNTIF($A$20:$A21,$A21)&gt;1,0,SUMIFS(Performance!$D$5:$D$304,Performance!$B$5:$B$304,$A21)))</f>
        <v>56112</v>
      </c>
      <c r="F21" s="8" t="n">
        <f aca="false">IF($A21="","",IF(COUNTIF($A$20:$A21,$A21)&gt;1,0,SUMIFS(Performance!$E$5:$E$304,Performance!$B$5:$B$304,$A21)))</f>
        <v>1679</v>
      </c>
      <c r="G21" s="9" t="n">
        <f aca="false">IF($A21="","",IF(E21&gt;0,F21/E21,0))</f>
        <v>0.0299222982606216</v>
      </c>
      <c r="H21" s="8" t="n">
        <f aca="false">IF($A21="","",IF(COUNTIF($A$20:$A21,$A21)&gt;1,0,SUMIFS(Performance!$G$5:$G$304,Performance!$B$5:$B$304,$A21)))</f>
        <v>65</v>
      </c>
      <c r="I21" s="9" t="n">
        <f aca="false">IF($A21="","",IF(COUNTIF($A$20:$A21,$A21)&gt;1,0,IF(SUMIFS(Performance!$F$5:$F$304,Performance!$B$5:$B$304,$A21)&gt;0,H21/SUMIFS(Performance!$F$5:$F$304,Performance!$B$5:$B$304,$A21),0)))</f>
        <v>0.047584187408492</v>
      </c>
    </row>
    <row r="22" customFormat="false" ht="15" hidden="false" customHeight="false" outlineLevel="0" collapsed="false">
      <c r="A22" s="10" t="str">
        <f aca="false">IF(Campaigns!A7="","",Campaigns!A7)</f>
        <v>C03</v>
      </c>
      <c r="B22" s="10" t="str">
        <f aca="false">IF($A22="","",IF(COUNTIF($A$20:$A22,$A22)&gt;1,"Duplicate ID, see Campaigns",Campaigns!B7))</f>
        <v>Campus Careers Week</v>
      </c>
      <c r="C22" s="8" t="n">
        <f aca="false">IF($A22="","",IF(COUNTIF($A$20:$A22,$A22)&gt;1,0,COUNTIFS(Content_Calendar!$B$5:$B$304,$A22)))</f>
        <v>6</v>
      </c>
      <c r="D22" s="8" t="n">
        <f aca="false">IF($A22="","",IF(COUNTIF($A$20:$A22,$A22)&gt;1,0,COUNTIFS(Content_Calendar!$B$5:$B$304,$A22,Content_Calendar!$G$5:$G$304,"Live")+COUNTIFS(Content_Calendar!$B$5:$B$304,$A22,Content_Calendar!$G$5:$G$304,"Done")))</f>
        <v>5</v>
      </c>
      <c r="E22" s="8" t="n">
        <f aca="false">IF($A22="","",IF(COUNTIF($A$20:$A22,$A22)&gt;1,0,SUMIFS(Performance!$D$5:$D$304,Performance!$B$5:$B$304,$A22)))</f>
        <v>61477</v>
      </c>
      <c r="F22" s="8" t="n">
        <f aca="false">IF($A22="","",IF(COUNTIF($A$20:$A22,$A22)&gt;1,0,SUMIFS(Performance!$E$5:$E$304,Performance!$B$5:$B$304,$A22)))</f>
        <v>1921</v>
      </c>
      <c r="G22" s="9" t="n">
        <f aca="false">IF($A22="","",IF(E22&gt;0,F22/E22,0))</f>
        <v>0.0312474583990761</v>
      </c>
      <c r="H22" s="8" t="n">
        <f aca="false">IF($A22="","",IF(COUNTIF($A$20:$A22,$A22)&gt;1,0,SUMIFS(Performance!$G$5:$G$304,Performance!$B$5:$B$304,$A22)))</f>
        <v>60</v>
      </c>
      <c r="I22" s="9" t="n">
        <f aca="false">IF($A22="","",IF(COUNTIF($A$20:$A22,$A22)&gt;1,0,IF(SUMIFS(Performance!$F$5:$F$304,Performance!$B$5:$B$304,$A22)&gt;0,H22/SUMIFS(Performance!$F$5:$F$304,Performance!$B$5:$B$304,$A22),0)))</f>
        <v>0.0401069518716578</v>
      </c>
    </row>
    <row r="23" customFormat="false" ht="15" hidden="false" customHeight="false" outlineLevel="0" collapsed="false">
      <c r="A23" s="10" t="str">
        <f aca="false">IF(Campaigns!A8="","",Campaigns!A8)</f>
        <v>C04</v>
      </c>
      <c r="B23" s="10" t="str">
        <f aca="false">IF($A23="","",IF(COUNTIF($A$20:$A23,$A23)&gt;1,"Duplicate ID, see Campaigns",Campaigns!B8))</f>
        <v>Careers Site Refresh</v>
      </c>
      <c r="C23" s="8" t="n">
        <f aca="false">IF($A23="","",IF(COUNTIF($A$20:$A23,$A23)&gt;1,0,COUNTIFS(Content_Calendar!$B$5:$B$304,$A23)))</f>
        <v>6</v>
      </c>
      <c r="D23" s="8" t="n">
        <f aca="false">IF($A23="","",IF(COUNTIF($A$20:$A23,$A23)&gt;1,0,COUNTIFS(Content_Calendar!$B$5:$B$304,$A23,Content_Calendar!$G$5:$G$304,"Live")+COUNTIFS(Content_Calendar!$B$5:$B$304,$A23,Content_Calendar!$G$5:$G$304,"Done")))</f>
        <v>5</v>
      </c>
      <c r="E23" s="8" t="n">
        <f aca="false">IF($A23="","",IF(COUNTIF($A$20:$A23,$A23)&gt;1,0,SUMIFS(Performance!$D$5:$D$304,Performance!$B$5:$B$304,$A23)))</f>
        <v>78166</v>
      </c>
      <c r="F23" s="8" t="n">
        <f aca="false">IF($A23="","",IF(COUNTIF($A$20:$A23,$A23)&gt;1,0,SUMIFS(Performance!$E$5:$E$304,Performance!$B$5:$B$304,$A23)))</f>
        <v>2090</v>
      </c>
      <c r="G23" s="9" t="n">
        <f aca="false">IF($A23="","",IF(E23&gt;0,F23/E23,0))</f>
        <v>0.0267379679144385</v>
      </c>
      <c r="H23" s="8" t="n">
        <f aca="false">IF($A23="","",IF(COUNTIF($A$20:$A23,$A23)&gt;1,0,SUMIFS(Performance!$G$5:$G$304,Performance!$B$5:$B$304,$A23)))</f>
        <v>68</v>
      </c>
      <c r="I23" s="9" t="n">
        <f aca="false">IF($A23="","",IF(COUNTIF($A$20:$A23,$A23)&gt;1,0,IF(SUMIFS(Performance!$F$5:$F$304,Performance!$B$5:$B$304,$A23)&gt;0,H23/SUMIFS(Performance!$F$5:$F$304,Performance!$B$5:$B$304,$A23),0)))</f>
        <v>0.0368364030335861</v>
      </c>
    </row>
    <row r="24" customFormat="false" ht="15" hidden="false" customHeight="false" outlineLevel="0" collapsed="false">
      <c r="A24" s="10" t="str">
        <f aca="false">IF(Campaigns!A9="","",Campaigns!A9)</f>
        <v/>
      </c>
      <c r="B24" s="10" t="str">
        <f aca="false">IF($A24="","",IF(COUNTIF($A$20:$A24,$A24)&gt;1,"Duplicate ID, see Campaigns",Campaigns!B9))</f>
        <v/>
      </c>
      <c r="C24" s="8" t="str">
        <f aca="false">IF($A24="","",IF(COUNTIF($A$20:$A24,$A24)&gt;1,0,COUNTIFS(Content_Calendar!$B$5:$B$304,$A24)))</f>
        <v/>
      </c>
      <c r="D24" s="8" t="str">
        <f aca="false">IF($A24="","",IF(COUNTIF($A$20:$A24,$A24)&gt;1,0,COUNTIFS(Content_Calendar!$B$5:$B$304,$A24,Content_Calendar!$G$5:$G$304,"Live")+COUNTIFS(Content_Calendar!$B$5:$B$304,$A24,Content_Calendar!$G$5:$G$304,"Done")))</f>
        <v/>
      </c>
      <c r="E24" s="8" t="str">
        <f aca="false">IF($A24="","",IF(COUNTIF($A$20:$A24,$A24)&gt;1,0,SUMIFS(Performance!$D$5:$D$304,Performance!$B$5:$B$304,$A24)))</f>
        <v/>
      </c>
      <c r="F24" s="8" t="str">
        <f aca="false">IF($A24="","",IF(COUNTIF($A$20:$A24,$A24)&gt;1,0,SUMIFS(Performance!$E$5:$E$304,Performance!$B$5:$B$304,$A24)))</f>
        <v/>
      </c>
      <c r="G24" s="9" t="str">
        <f aca="false">IF($A24="","",IF(E24&gt;0,F24/E24,0))</f>
        <v/>
      </c>
      <c r="H24" s="8" t="str">
        <f aca="false">IF($A24="","",IF(COUNTIF($A$20:$A24,$A24)&gt;1,0,SUMIFS(Performance!$G$5:$G$304,Performance!$B$5:$B$304,$A24)))</f>
        <v/>
      </c>
      <c r="I24" s="9" t="str">
        <f aca="false">IF($A24="","",IF(COUNTIF($A$20:$A24,$A24)&gt;1,0,IF(SUMIFS(Performance!$F$5:$F$304,Performance!$B$5:$B$304,$A24)&gt;0,H24/SUMIFS(Performance!$F$5:$F$304,Performance!$B$5:$B$304,$A24),0)))</f>
        <v/>
      </c>
    </row>
    <row r="25" customFormat="false" ht="15" hidden="false" customHeight="false" outlineLevel="0" collapsed="false">
      <c r="A25" s="10" t="str">
        <f aca="false">IF(Campaigns!A10="","",Campaigns!A10)</f>
        <v/>
      </c>
      <c r="B25" s="10" t="str">
        <f aca="false">IF($A25="","",IF(COUNTIF($A$20:$A25,$A25)&gt;1,"Duplicate ID, see Campaigns",Campaigns!B10))</f>
        <v/>
      </c>
      <c r="C25" s="8" t="str">
        <f aca="false">IF($A25="","",IF(COUNTIF($A$20:$A25,$A25)&gt;1,0,COUNTIFS(Content_Calendar!$B$5:$B$304,$A25)))</f>
        <v/>
      </c>
      <c r="D25" s="8" t="str">
        <f aca="false">IF($A25="","",IF(COUNTIF($A$20:$A25,$A25)&gt;1,0,COUNTIFS(Content_Calendar!$B$5:$B$304,$A25,Content_Calendar!$G$5:$G$304,"Live")+COUNTIFS(Content_Calendar!$B$5:$B$304,$A25,Content_Calendar!$G$5:$G$304,"Done")))</f>
        <v/>
      </c>
      <c r="E25" s="8" t="str">
        <f aca="false">IF($A25="","",IF(COUNTIF($A$20:$A25,$A25)&gt;1,0,SUMIFS(Performance!$D$5:$D$304,Performance!$B$5:$B$304,$A25)))</f>
        <v/>
      </c>
      <c r="F25" s="8" t="str">
        <f aca="false">IF($A25="","",IF(COUNTIF($A$20:$A25,$A25)&gt;1,0,SUMIFS(Performance!$E$5:$E$304,Performance!$B$5:$B$304,$A25)))</f>
        <v/>
      </c>
      <c r="G25" s="9" t="str">
        <f aca="false">IF($A25="","",IF(E25&gt;0,F25/E25,0))</f>
        <v/>
      </c>
      <c r="H25" s="8" t="str">
        <f aca="false">IF($A25="","",IF(COUNTIF($A$20:$A25,$A25)&gt;1,0,SUMIFS(Performance!$G$5:$G$304,Performance!$B$5:$B$304,$A25)))</f>
        <v/>
      </c>
      <c r="I25" s="9" t="str">
        <f aca="false">IF($A25="","",IF(COUNTIF($A$20:$A25,$A25)&gt;1,0,IF(SUMIFS(Performance!$F$5:$F$304,Performance!$B$5:$B$304,$A25)&gt;0,H25/SUMIFS(Performance!$F$5:$F$304,Performance!$B$5:$B$304,$A25),0)))</f>
        <v/>
      </c>
    </row>
    <row r="26" customFormat="false" ht="15" hidden="false" customHeight="false" outlineLevel="0" collapsed="false">
      <c r="A26" s="10" t="str">
        <f aca="false">IF(Campaigns!A11="","",Campaigns!A11)</f>
        <v/>
      </c>
      <c r="B26" s="10" t="str">
        <f aca="false">IF($A26="","",IF(COUNTIF($A$20:$A26,$A26)&gt;1,"Duplicate ID, see Campaigns",Campaigns!B11))</f>
        <v/>
      </c>
      <c r="C26" s="8" t="str">
        <f aca="false">IF($A26="","",IF(COUNTIF($A$20:$A26,$A26)&gt;1,0,COUNTIFS(Content_Calendar!$B$5:$B$304,$A26)))</f>
        <v/>
      </c>
      <c r="D26" s="8" t="str">
        <f aca="false">IF($A26="","",IF(COUNTIF($A$20:$A26,$A26)&gt;1,0,COUNTIFS(Content_Calendar!$B$5:$B$304,$A26,Content_Calendar!$G$5:$G$304,"Live")+COUNTIFS(Content_Calendar!$B$5:$B$304,$A26,Content_Calendar!$G$5:$G$304,"Done")))</f>
        <v/>
      </c>
      <c r="E26" s="8" t="str">
        <f aca="false">IF($A26="","",IF(COUNTIF($A$20:$A26,$A26)&gt;1,0,SUMIFS(Performance!$D$5:$D$304,Performance!$B$5:$B$304,$A26)))</f>
        <v/>
      </c>
      <c r="F26" s="8" t="str">
        <f aca="false">IF($A26="","",IF(COUNTIF($A$20:$A26,$A26)&gt;1,0,SUMIFS(Performance!$E$5:$E$304,Performance!$B$5:$B$304,$A26)))</f>
        <v/>
      </c>
      <c r="G26" s="9" t="str">
        <f aca="false">IF($A26="","",IF(E26&gt;0,F26/E26,0))</f>
        <v/>
      </c>
      <c r="H26" s="8" t="str">
        <f aca="false">IF($A26="","",IF(COUNTIF($A$20:$A26,$A26)&gt;1,0,SUMIFS(Performance!$G$5:$G$304,Performance!$B$5:$B$304,$A26)))</f>
        <v/>
      </c>
      <c r="I26" s="9" t="str">
        <f aca="false">IF($A26="","",IF(COUNTIF($A$20:$A26,$A26)&gt;1,0,IF(SUMIFS(Performance!$F$5:$F$304,Performance!$B$5:$B$304,$A26)&gt;0,H26/SUMIFS(Performance!$F$5:$F$304,Performance!$B$5:$B$304,$A26),0)))</f>
        <v/>
      </c>
    </row>
    <row r="27" customFormat="false" ht="15" hidden="false" customHeight="false" outlineLevel="0" collapsed="false">
      <c r="A27" s="10" t="str">
        <f aca="false">IF(Campaigns!A12="","",Campaigns!A12)</f>
        <v/>
      </c>
      <c r="B27" s="10" t="str">
        <f aca="false">IF($A27="","",IF(COUNTIF($A$20:$A27,$A27)&gt;1,"Duplicate ID, see Campaigns",Campaigns!B12))</f>
        <v/>
      </c>
      <c r="C27" s="8" t="str">
        <f aca="false">IF($A27="","",IF(COUNTIF($A$20:$A27,$A27)&gt;1,0,COUNTIFS(Content_Calendar!$B$5:$B$304,$A27)))</f>
        <v/>
      </c>
      <c r="D27" s="8" t="str">
        <f aca="false">IF($A27="","",IF(COUNTIF($A$20:$A27,$A27)&gt;1,0,COUNTIFS(Content_Calendar!$B$5:$B$304,$A27,Content_Calendar!$G$5:$G$304,"Live")+COUNTIFS(Content_Calendar!$B$5:$B$304,$A27,Content_Calendar!$G$5:$G$304,"Done")))</f>
        <v/>
      </c>
      <c r="E27" s="8" t="str">
        <f aca="false">IF($A27="","",IF(COUNTIF($A$20:$A27,$A27)&gt;1,0,SUMIFS(Performance!$D$5:$D$304,Performance!$B$5:$B$304,$A27)))</f>
        <v/>
      </c>
      <c r="F27" s="8" t="str">
        <f aca="false">IF($A27="","",IF(COUNTIF($A$20:$A27,$A27)&gt;1,0,SUMIFS(Performance!$E$5:$E$304,Performance!$B$5:$B$304,$A27)))</f>
        <v/>
      </c>
      <c r="G27" s="9" t="str">
        <f aca="false">IF($A27="","",IF(E27&gt;0,F27/E27,0))</f>
        <v/>
      </c>
      <c r="H27" s="8" t="str">
        <f aca="false">IF($A27="","",IF(COUNTIF($A$20:$A27,$A27)&gt;1,0,SUMIFS(Performance!$G$5:$G$304,Performance!$B$5:$B$304,$A27)))</f>
        <v/>
      </c>
      <c r="I27" s="9" t="str">
        <f aca="false">IF($A27="","",IF(COUNTIF($A$20:$A27,$A27)&gt;1,0,IF(SUMIFS(Performance!$F$5:$F$304,Performance!$B$5:$B$304,$A27)&gt;0,H27/SUMIFS(Performance!$F$5:$F$304,Performance!$B$5:$B$304,$A27),0)))</f>
        <v/>
      </c>
    </row>
    <row r="28" customFormat="false" ht="15" hidden="false" customHeight="false" outlineLevel="0" collapsed="false">
      <c r="A28" s="10" t="s">
        <v>66</v>
      </c>
      <c r="B28" s="10" t="s">
        <v>67</v>
      </c>
      <c r="C28" s="8" t="n">
        <f aca="false">C29-SUM(C20:C27)</f>
        <v>0</v>
      </c>
      <c r="D28" s="8" t="n">
        <f aca="false">D29-SUM(D20:D27)</f>
        <v>0</v>
      </c>
      <c r="E28" s="8" t="n">
        <f aca="false">E29-SUM(E20:E27)</f>
        <v>0</v>
      </c>
      <c r="F28" s="8" t="n">
        <f aca="false">F29-SUM(F20:F27)</f>
        <v>0</v>
      </c>
      <c r="G28" s="9" t="n">
        <f aca="false">IF(FALSE(),"",IF(E28&gt;0,F28/E28,0))</f>
        <v>0</v>
      </c>
      <c r="H28" s="8" t="n">
        <f aca="false">H29-SUM(H20:H27)</f>
        <v>0</v>
      </c>
      <c r="I28" s="9" t="n">
        <f aca="false">IF(($D$7-(IF($A20="",0,IF(COUNTIF($A$20:$A20,$A20)&gt;1,0,SUMIFS(Performance!$F$5:$F$304,Performance!$B$5:$B$304,$A20)))+IF($A21="",0,IF(COUNTIF($A$20:$A21,$A21)&gt;1,0,SUMIFS(Performance!$F$5:$F$304,Performance!$B$5:$B$304,$A21)))+IF($A22="",0,IF(COUNTIF($A$20:$A22,$A22)&gt;1,0,SUMIFS(Performance!$F$5:$F$304,Performance!$B$5:$B$304,$A22)))+IF($A23="",0,IF(COUNTIF($A$20:$A23,$A23)&gt;1,0,SUMIFS(Performance!$F$5:$F$304,Performance!$B$5:$B$304,$A23)))+IF($A24="",0,IF(COUNTIF($A$20:$A24,$A24)&gt;1,0,SUMIFS(Performance!$F$5:$F$304,Performance!$B$5:$B$304,$A24)))+IF($A25="",0,IF(COUNTIF($A$20:$A25,$A25)&gt;1,0,SUMIFS(Performance!$F$5:$F$304,Performance!$B$5:$B$304,$A25)))+IF($A26="",0,IF(COUNTIF($A$20:$A26,$A26)&gt;1,0,SUMIFS(Performance!$F$5:$F$304,Performance!$B$5:$B$304,$A26)))+IF($A27="",0,IF(COUNTIF($A$20:$A27,$A27)&gt;1,0,SUMIFS(Performance!$F$5:$F$304,Performance!$B$5:$B$304,$A27)))))&gt;0,H28/($D$7-(IF($A20="",0,IF(COUNTIF($A$20:$A20,$A20)&gt;1,0,SUMIFS(Performance!$F$5:$F$304,Performance!$B$5:$B$304,$A20)))+IF($A21="",0,IF(COUNTIF($A$20:$A21,$A21)&gt;1,0,SUMIFS(Performance!$F$5:$F$304,Performance!$B$5:$B$304,$A21)))+IF($A22="",0,IF(COUNTIF($A$20:$A22,$A22)&gt;1,0,SUMIFS(Performance!$F$5:$F$304,Performance!$B$5:$B$304,$A22)))+IF($A23="",0,IF(COUNTIF($A$20:$A23,$A23)&gt;1,0,SUMIFS(Performance!$F$5:$F$304,Performance!$B$5:$B$304,$A23)))+IF($A24="",0,IF(COUNTIF($A$20:$A24,$A24)&gt;1,0,SUMIFS(Performance!$F$5:$F$304,Performance!$B$5:$B$304,$A24)))+IF($A25="",0,IF(COUNTIF($A$20:$A25,$A25)&gt;1,0,SUMIFS(Performance!$F$5:$F$304,Performance!$B$5:$B$304,$A25)))+IF($A26="",0,IF(COUNTIF($A$20:$A26,$A26)&gt;1,0,SUMIFS(Performance!$F$5:$F$304,Performance!$B$5:$B$304,$A26)))+IF($A27="",0,IF(COUNTIF($A$20:$A27,$A27)&gt;1,0,SUMIFS(Performance!$F$5:$F$304,Performance!$B$5:$B$304,$A27))))),0)</f>
        <v>0</v>
      </c>
    </row>
    <row r="29" customFormat="false" ht="15" hidden="false" customHeight="false" outlineLevel="0" collapsed="false">
      <c r="A29" s="11" t="s">
        <v>60</v>
      </c>
      <c r="B29" s="10"/>
      <c r="C29" s="12" t="n">
        <f aca="false">COUNTIF(Content_Calendar!$B$5:$B$304,"&lt;&gt;")</f>
        <v>26</v>
      </c>
      <c r="D29" s="12" t="n">
        <f aca="false">COUNTIF(Content_Calendar!$G$5:$G$304,"Live")+COUNTIF(Content_Calendar!$G$5:$G$304,"Done")</f>
        <v>23</v>
      </c>
      <c r="E29" s="12" t="n">
        <f aca="false">SUM(Performance!$D$5:$D$304)</f>
        <v>258582</v>
      </c>
      <c r="F29" s="12" t="n">
        <f aca="false">SUM(Performance!$E$5:$E$304)</f>
        <v>7277</v>
      </c>
      <c r="G29" s="13" t="n">
        <f aca="false">IF(FALSE(),"",IF(E29&gt;0,F29/E29,0))</f>
        <v>0.0281419433680612</v>
      </c>
      <c r="H29" s="12" t="n">
        <f aca="false">SUM(Performance!$G$5:$G$304)</f>
        <v>258</v>
      </c>
      <c r="I29" s="13" t="n">
        <f aca="false">IF(D7&gt;0,H29/D7,0)</f>
        <v>0.0434855890780381</v>
      </c>
    </row>
    <row r="31" customFormat="false" ht="15" hidden="false" customHeight="false" outlineLevel="0" collapsed="false">
      <c r="A31" s="3" t="s">
        <v>68</v>
      </c>
    </row>
    <row r="32" customFormat="false" ht="31.5" hidden="false" customHeight="true" outlineLevel="0" collapsed="false">
      <c r="A32" s="7" t="s">
        <v>69</v>
      </c>
      <c r="B32" s="7" t="s">
        <v>70</v>
      </c>
    </row>
    <row r="33" customFormat="false" ht="15" hidden="false" customHeight="false" outlineLevel="0" collapsed="false">
      <c r="A33" s="10" t="s">
        <v>71</v>
      </c>
      <c r="B33" s="8" t="n">
        <f aca="false">COUNTIF(Content_Calendar!$G$5:$G$304,"Planned")</f>
        <v>0</v>
      </c>
    </row>
    <row r="34" customFormat="false" ht="15" hidden="false" customHeight="false" outlineLevel="0" collapsed="false">
      <c r="A34" s="10" t="s">
        <v>72</v>
      </c>
      <c r="B34" s="8" t="n">
        <f aca="false">COUNTIF(Content_Calendar!$G$5:$G$304,"In review")</f>
        <v>3</v>
      </c>
    </row>
    <row r="35" customFormat="false" ht="15" hidden="false" customHeight="false" outlineLevel="0" collapsed="false">
      <c r="A35" s="10" t="s">
        <v>73</v>
      </c>
      <c r="B35" s="8" t="n">
        <f aca="false">COUNTIF(Content_Calendar!$G$5:$G$304,"Live")</f>
        <v>5</v>
      </c>
    </row>
    <row r="36" customFormat="false" ht="15" hidden="false" customHeight="false" outlineLevel="0" collapsed="false">
      <c r="A36" s="10" t="s">
        <v>74</v>
      </c>
      <c r="B36" s="8" t="n">
        <f aca="false">COUNTIF(Content_Calendar!$G$5:$G$304,"Done")</f>
        <v>18</v>
      </c>
    </row>
    <row r="37" customFormat="false" ht="15" hidden="false" customHeight="false" outlineLevel="0" collapsed="false">
      <c r="A37" s="10" t="s">
        <v>75</v>
      </c>
      <c r="B37" s="8" t="n">
        <f aca="false">COUNTIF(Content_Calendar!$B$5:$B$304,"&lt;&gt;")-COUNTIF(Content_Calendar!$G$5:$G$304,"Planned")-COUNTIF(Content_Calendar!$G$5:$G$304,"In review")-COUNTIF(Content_Calendar!$G$5:$G$304,"Live")-COUNTIF(Content_Calendar!$G$5:$G$304,"Done")</f>
        <v>0</v>
      </c>
    </row>
    <row r="38" customFormat="false" ht="15" hidden="false" customHeight="false" outlineLevel="0" collapsed="false">
      <c r="A38" s="10" t="s">
        <v>76</v>
      </c>
      <c r="B38" s="8" t="n">
        <f aca="false">COUNTIF(Content_Calendar!$H$5:$H$304,"Overdue")</f>
        <v>3</v>
      </c>
    </row>
    <row r="39" customFormat="false" ht="15" hidden="false" customHeight="false" outlineLevel="0" collapsed="false">
      <c r="A39" s="10" t="s">
        <v>77</v>
      </c>
      <c r="B39" s="8" t="n">
        <f aca="false">COUNTIF(Careers_QA!$C$5:$C$104,"Pass")</f>
        <v>11</v>
      </c>
    </row>
    <row r="40" customFormat="false" ht="15" hidden="false" customHeight="false" outlineLevel="0" collapsed="false">
      <c r="A40" s="10" t="s">
        <v>78</v>
      </c>
      <c r="B40" s="8" t="n">
        <f aca="false">COUNTIF(Careers_QA!$C$5:$C$104,"Needs update")</f>
        <v>3</v>
      </c>
    </row>
    <row r="41" customFormat="false" ht="15" hidden="false" customHeight="false" outlineLevel="0" collapsed="false">
      <c r="A41" s="10" t="s">
        <v>79</v>
      </c>
      <c r="B41" s="8" t="n">
        <f aca="false">COUNTIF(Careers_QA!$C$5:$C$104,"Fail")</f>
        <v>1</v>
      </c>
    </row>
    <row r="42" customFormat="false" ht="15" hidden="false" customHeight="false" outlineLevel="0" collapsed="false">
      <c r="A42" s="10" t="s">
        <v>80</v>
      </c>
      <c r="B42" s="9" t="n">
        <f aca="false">IF(COUNTA(Careers_QA!$C$5:$C$104)=0,0,COUNTIF(Careers_QA!$C$5:$C$104,"Pass")/COUNTA(Careers_QA!$C$5:$C$104))</f>
        <v>0.733333333333333</v>
      </c>
    </row>
    <row r="43" customFormat="false" ht="15" hidden="false" customHeight="false" outlineLevel="0" collapsed="false">
      <c r="A43" s="10" t="s">
        <v>81</v>
      </c>
      <c r="B43" s="8" t="n">
        <f aca="false">COUNTIF(Tasks!$F$5:$F$104,"Open")</f>
        <v>8</v>
      </c>
    </row>
    <row r="44" customFormat="false" ht="15" hidden="false" customHeight="false" outlineLevel="0" collapsed="false">
      <c r="A44" s="10" t="s">
        <v>82</v>
      </c>
      <c r="B44" s="8" t="n">
        <f aca="false">COUNTIF(Tasks!$G$5:$G$104,"Overdue")</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64"/>
    <col collapsed="false" customWidth="true" hidden="false" outlineLevel="0" max="4" min="4" style="0" width="3"/>
    <col collapsed="false" customWidth="true" hidden="false" outlineLevel="0" max="5" min="5" style="0" width="22"/>
  </cols>
  <sheetData>
    <row r="1" customFormat="false" ht="17.35" hidden="false" customHeight="false" outlineLevel="0" collapsed="false">
      <c r="A1" s="1" t="s">
        <v>7</v>
      </c>
    </row>
    <row r="2" customFormat="false" ht="15" hidden="false" customHeight="false" outlineLevel="0" collapsed="false">
      <c r="A2" s="2" t="s">
        <v>83</v>
      </c>
    </row>
    <row r="4" customFormat="false" ht="31.5" hidden="false" customHeight="true" outlineLevel="0" collapsed="false">
      <c r="A4" s="7" t="s">
        <v>84</v>
      </c>
      <c r="B4" s="7" t="s">
        <v>85</v>
      </c>
      <c r="C4" s="7" t="s">
        <v>86</v>
      </c>
      <c r="E4" s="14" t="s">
        <v>87</v>
      </c>
    </row>
    <row r="5" customFormat="false" ht="15" hidden="false" customHeight="false" outlineLevel="0" collapsed="false">
      <c r="A5" s="4" t="s">
        <v>88</v>
      </c>
      <c r="B5" s="15" t="n">
        <v>46320</v>
      </c>
      <c r="C5" s="2" t="s">
        <v>89</v>
      </c>
      <c r="E5" s="16" t="s">
        <v>90</v>
      </c>
    </row>
    <row r="6" customFormat="false" ht="15" hidden="false" customHeight="false" outlineLevel="0" collapsed="false">
      <c r="A6" s="4" t="s">
        <v>91</v>
      </c>
      <c r="B6" s="17" t="n">
        <v>0.02</v>
      </c>
      <c r="C6" s="2" t="s">
        <v>92</v>
      </c>
      <c r="E6" s="16" t="s">
        <v>93</v>
      </c>
    </row>
    <row r="7" customFormat="false" ht="15" hidden="false" customHeight="false" outlineLevel="0" collapsed="false">
      <c r="A7" s="4" t="s">
        <v>94</v>
      </c>
      <c r="B7" s="17" t="n">
        <v>0.04</v>
      </c>
      <c r="C7" s="2" t="s">
        <v>92</v>
      </c>
      <c r="E7" s="16" t="s">
        <v>95</v>
      </c>
    </row>
    <row r="8" customFormat="false" ht="15" hidden="false" customHeight="false" outlineLevel="0" collapsed="false">
      <c r="E8" s="16" t="s">
        <v>96</v>
      </c>
    </row>
    <row r="10" customFormat="false" ht="15" hidden="false" customHeight="false" outlineLevel="0" collapsed="false">
      <c r="E10" s="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52"/>
    <col collapsed="false" customWidth="true" hidden="false" outlineLevel="0" max="7" min="4" style="0" width="14"/>
  </cols>
  <sheetData>
    <row r="1" customFormat="false" ht="17.35" hidden="false" customHeight="false" outlineLevel="0" collapsed="false">
      <c r="A1" s="1" t="s">
        <v>9</v>
      </c>
    </row>
    <row r="2" customFormat="false" ht="15" hidden="false" customHeight="false" outlineLevel="0" collapsed="false">
      <c r="A2" s="2" t="s">
        <v>98</v>
      </c>
    </row>
    <row r="3" customFormat="false" ht="15" hidden="false" customHeight="false" outlineLevel="0" collapsed="false">
      <c r="A3" s="18" t="s">
        <v>99</v>
      </c>
    </row>
    <row r="4" customFormat="false" ht="31.5" hidden="false" customHeight="true" outlineLevel="0" collapsed="false">
      <c r="A4" s="7" t="s">
        <v>62</v>
      </c>
      <c r="B4" s="7" t="s">
        <v>100</v>
      </c>
      <c r="C4" s="7" t="s">
        <v>101</v>
      </c>
      <c r="D4" s="7" t="s">
        <v>102</v>
      </c>
      <c r="E4" s="7" t="s">
        <v>103</v>
      </c>
      <c r="F4" s="7" t="s">
        <v>104</v>
      </c>
      <c r="G4" s="7" t="s">
        <v>40</v>
      </c>
    </row>
    <row r="5" customFormat="false" ht="15" hidden="false" customHeight="false" outlineLevel="0" collapsed="false">
      <c r="A5" s="16" t="s">
        <v>105</v>
      </c>
      <c r="B5" s="16" t="s">
        <v>106</v>
      </c>
      <c r="C5" s="16" t="s">
        <v>107</v>
      </c>
      <c r="D5" s="15" t="n">
        <v>46266</v>
      </c>
      <c r="E5" s="15" t="n">
        <v>46326</v>
      </c>
      <c r="F5" s="16" t="s">
        <v>108</v>
      </c>
      <c r="G5" s="19" t="str">
        <f aca="false">IF(A5="","",IF(COUNTIF($A$5:$A$24,A5)&gt;1,"Duplicate ID","OK"))</f>
        <v>OK</v>
      </c>
    </row>
    <row r="6" customFormat="false" ht="15" hidden="false" customHeight="false" outlineLevel="0" collapsed="false">
      <c r="A6" s="16" t="s">
        <v>109</v>
      </c>
      <c r="B6" s="16" t="s">
        <v>110</v>
      </c>
      <c r="C6" s="16" t="s">
        <v>111</v>
      </c>
      <c r="D6" s="15" t="n">
        <v>46273</v>
      </c>
      <c r="E6" s="15" t="n">
        <v>46341</v>
      </c>
      <c r="F6" s="16" t="s">
        <v>108</v>
      </c>
      <c r="G6" s="19" t="str">
        <f aca="false">IF(A6="","",IF(COUNTIF($A$5:$A$24,A6)&gt;1,"Duplicate ID","OK"))</f>
        <v>OK</v>
      </c>
    </row>
    <row r="7" customFormat="false" ht="15" hidden="false" customHeight="false" outlineLevel="0" collapsed="false">
      <c r="A7" s="16" t="s">
        <v>112</v>
      </c>
      <c r="B7" s="16" t="s">
        <v>113</v>
      </c>
      <c r="C7" s="16" t="s">
        <v>114</v>
      </c>
      <c r="D7" s="15" t="n">
        <v>46300</v>
      </c>
      <c r="E7" s="15" t="n">
        <v>46311</v>
      </c>
      <c r="F7" s="16" t="s">
        <v>115</v>
      </c>
      <c r="G7" s="19" t="str">
        <f aca="false">IF(A7="","",IF(COUNTIF($A$5:$A$24,A7)&gt;1,"Duplicate ID","OK"))</f>
        <v>OK</v>
      </c>
    </row>
    <row r="8" customFormat="false" ht="15" hidden="false" customHeight="false" outlineLevel="0" collapsed="false">
      <c r="A8" s="16" t="s">
        <v>116</v>
      </c>
      <c r="B8" s="16" t="s">
        <v>117</v>
      </c>
      <c r="C8" s="16" t="s">
        <v>118</v>
      </c>
      <c r="D8" s="15" t="n">
        <v>46280</v>
      </c>
      <c r="E8" s="15" t="n">
        <v>46356</v>
      </c>
      <c r="F8" s="16" t="s">
        <v>108</v>
      </c>
      <c r="G8" s="19" t="str">
        <f aca="false">IF(A8="","",IF(COUNTIF($A$5:$A$24,A8)&gt;1,"Duplicate ID","OK"))</f>
        <v>OK</v>
      </c>
    </row>
    <row r="9" customFormat="false" ht="15" hidden="false" customHeight="false" outlineLevel="0" collapsed="false">
      <c r="A9" s="16"/>
      <c r="B9" s="16"/>
      <c r="C9" s="16"/>
      <c r="D9" s="15"/>
      <c r="E9" s="15"/>
      <c r="F9" s="16"/>
      <c r="G9" s="19" t="str">
        <f aca="false">IF(A9="","",IF(COUNTIF($A$5:$A$24,A9)&gt;1,"Duplicate ID","OK"))</f>
        <v/>
      </c>
    </row>
    <row r="10" customFormat="false" ht="15" hidden="false" customHeight="false" outlineLevel="0" collapsed="false">
      <c r="A10" s="16"/>
      <c r="B10" s="16"/>
      <c r="C10" s="16"/>
      <c r="D10" s="15"/>
      <c r="E10" s="15"/>
      <c r="F10" s="16"/>
      <c r="G10" s="19" t="str">
        <f aca="false">IF(A10="","",IF(COUNTIF($A$5:$A$24,A10)&gt;1,"Duplicate ID","OK"))</f>
        <v/>
      </c>
    </row>
    <row r="11" customFormat="false" ht="15" hidden="false" customHeight="false" outlineLevel="0" collapsed="false">
      <c r="A11" s="16"/>
      <c r="B11" s="16"/>
      <c r="C11" s="16"/>
      <c r="D11" s="15"/>
      <c r="E11" s="15"/>
      <c r="F11" s="16"/>
      <c r="G11" s="19" t="str">
        <f aca="false">IF(A11="","",IF(COUNTIF($A$5:$A$24,A11)&gt;1,"Duplicate ID","OK"))</f>
        <v/>
      </c>
    </row>
    <row r="12" customFormat="false" ht="15" hidden="false" customHeight="false" outlineLevel="0" collapsed="false">
      <c r="A12" s="16"/>
      <c r="B12" s="16"/>
      <c r="C12" s="16"/>
      <c r="D12" s="15"/>
      <c r="E12" s="15"/>
      <c r="F12" s="16"/>
      <c r="G12" s="19" t="str">
        <f aca="false">IF(A12="","",IF(COUNTIF($A$5:$A$24,A12)&gt;1,"Duplicate ID","OK"))</f>
        <v/>
      </c>
    </row>
    <row r="13" customFormat="false" ht="15" hidden="false" customHeight="false" outlineLevel="0" collapsed="false">
      <c r="A13" s="16"/>
      <c r="B13" s="16"/>
      <c r="C13" s="16"/>
      <c r="D13" s="15"/>
      <c r="E13" s="15"/>
      <c r="F13" s="16"/>
      <c r="G13" s="19" t="str">
        <f aca="false">IF(A13="","",IF(COUNTIF($A$5:$A$24,A13)&gt;1,"Duplicate ID","OK"))</f>
        <v/>
      </c>
    </row>
    <row r="14" customFormat="false" ht="15" hidden="false" customHeight="false" outlineLevel="0" collapsed="false">
      <c r="A14" s="16"/>
      <c r="B14" s="16"/>
      <c r="C14" s="16"/>
      <c r="D14" s="15"/>
      <c r="E14" s="15"/>
      <c r="F14" s="16"/>
      <c r="G14" s="19" t="str">
        <f aca="false">IF(A14="","",IF(COUNTIF($A$5:$A$24,A14)&gt;1,"Duplicate ID","OK"))</f>
        <v/>
      </c>
    </row>
    <row r="15" customFormat="false" ht="15" hidden="false" customHeight="false" outlineLevel="0" collapsed="false">
      <c r="A15" s="16"/>
      <c r="B15" s="16"/>
      <c r="C15" s="16"/>
      <c r="D15" s="15"/>
      <c r="E15" s="15"/>
      <c r="F15" s="16"/>
      <c r="G15" s="19" t="str">
        <f aca="false">IF(A15="","",IF(COUNTIF($A$5:$A$24,A15)&gt;1,"Duplicate ID","OK"))</f>
        <v/>
      </c>
    </row>
    <row r="16" customFormat="false" ht="15" hidden="false" customHeight="false" outlineLevel="0" collapsed="false">
      <c r="A16" s="16"/>
      <c r="B16" s="16"/>
      <c r="C16" s="16"/>
      <c r="D16" s="15"/>
      <c r="E16" s="15"/>
      <c r="F16" s="16"/>
      <c r="G16" s="19" t="str">
        <f aca="false">IF(A16="","",IF(COUNTIF($A$5:$A$24,A16)&gt;1,"Duplicate ID","OK"))</f>
        <v/>
      </c>
    </row>
    <row r="17" customFormat="false" ht="15" hidden="false" customHeight="false" outlineLevel="0" collapsed="false">
      <c r="A17" s="16"/>
      <c r="B17" s="16"/>
      <c r="C17" s="16"/>
      <c r="D17" s="15"/>
      <c r="E17" s="15"/>
      <c r="F17" s="16"/>
      <c r="G17" s="19" t="str">
        <f aca="false">IF(A17="","",IF(COUNTIF($A$5:$A$24,A17)&gt;1,"Duplicate ID","OK"))</f>
        <v/>
      </c>
    </row>
    <row r="18" customFormat="false" ht="15" hidden="false" customHeight="false" outlineLevel="0" collapsed="false">
      <c r="A18" s="16"/>
      <c r="B18" s="16"/>
      <c r="C18" s="16"/>
      <c r="D18" s="15"/>
      <c r="E18" s="15"/>
      <c r="F18" s="16"/>
      <c r="G18" s="19" t="str">
        <f aca="false">IF(A18="","",IF(COUNTIF($A$5:$A$24,A18)&gt;1,"Duplicate ID","OK"))</f>
        <v/>
      </c>
    </row>
    <row r="19" customFormat="false" ht="15" hidden="false" customHeight="false" outlineLevel="0" collapsed="false">
      <c r="A19" s="16"/>
      <c r="B19" s="16"/>
      <c r="C19" s="16"/>
      <c r="D19" s="15"/>
      <c r="E19" s="15"/>
      <c r="F19" s="16"/>
      <c r="G19" s="19" t="str">
        <f aca="false">IF(A19="","",IF(COUNTIF($A$5:$A$24,A19)&gt;1,"Duplicate ID","OK"))</f>
        <v/>
      </c>
    </row>
    <row r="20" customFormat="false" ht="15" hidden="false" customHeight="false" outlineLevel="0" collapsed="false">
      <c r="A20" s="16"/>
      <c r="B20" s="16"/>
      <c r="C20" s="16"/>
      <c r="D20" s="15"/>
      <c r="E20" s="15"/>
      <c r="F20" s="16"/>
      <c r="G20" s="19" t="str">
        <f aca="false">IF(A20="","",IF(COUNTIF($A$5:$A$24,A20)&gt;1,"Duplicate ID","OK"))</f>
        <v/>
      </c>
    </row>
    <row r="21" customFormat="false" ht="15" hidden="false" customHeight="false" outlineLevel="0" collapsed="false">
      <c r="A21" s="16"/>
      <c r="B21" s="16"/>
      <c r="C21" s="16"/>
      <c r="D21" s="15"/>
      <c r="E21" s="15"/>
      <c r="F21" s="16"/>
      <c r="G21" s="19" t="str">
        <f aca="false">IF(A21="","",IF(COUNTIF($A$5:$A$24,A21)&gt;1,"Duplicate ID","OK"))</f>
        <v/>
      </c>
    </row>
    <row r="22" customFormat="false" ht="15" hidden="false" customHeight="false" outlineLevel="0" collapsed="false">
      <c r="A22" s="16"/>
      <c r="B22" s="16"/>
      <c r="C22" s="16"/>
      <c r="D22" s="15"/>
      <c r="E22" s="15"/>
      <c r="F22" s="16"/>
      <c r="G22" s="19" t="str">
        <f aca="false">IF(A22="","",IF(COUNTIF($A$5:$A$24,A22)&gt;1,"Duplicate ID","OK"))</f>
        <v/>
      </c>
    </row>
    <row r="23" customFormat="false" ht="15" hidden="false" customHeight="false" outlineLevel="0" collapsed="false">
      <c r="A23" s="16"/>
      <c r="B23" s="16"/>
      <c r="C23" s="16"/>
      <c r="D23" s="15"/>
      <c r="E23" s="15"/>
      <c r="F23" s="16"/>
      <c r="G23" s="19" t="str">
        <f aca="false">IF(A23="","",IF(COUNTIF($A$5:$A$24,A23)&gt;1,"Duplicate ID","OK"))</f>
        <v/>
      </c>
    </row>
    <row r="24" customFormat="false" ht="15" hidden="false" customHeight="false" outlineLevel="0" collapsed="false">
      <c r="A24" s="16"/>
      <c r="B24" s="16"/>
      <c r="C24" s="16"/>
      <c r="D24" s="15"/>
      <c r="E24" s="15"/>
      <c r="F24" s="16"/>
      <c r="G24" s="19" t="str">
        <f aca="false">IF(A24="","",IF(COUNTIF($A$5:$A$24,A24)&gt;1,"Duplicate ID","OK"))</f>
        <v/>
      </c>
    </row>
  </sheetData>
  <conditionalFormatting sqref="G5:G24">
    <cfRule type="cellIs" priority="2" operator="equal" aboveAverage="0" equalAverage="0" bottom="0" percent="0" rank="0" text="" dxfId="0">
      <formula>"Duplicate ID"</formula>
    </cfRule>
  </conditionalFormatting>
  <dataValidations count="1">
    <dataValidation allowBlank="true" errorStyle="stop" operator="between" showDropDown="false" showErrorMessage="false" showInputMessage="false" sqref="F5:F24" type="list">
      <formula1>"Planned,Live,Done,On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16"/>
    <col collapsed="false" customWidth="true" hidden="false" outlineLevel="0" max="4" min="4" style="0" width="18"/>
    <col collapsed="false" customWidth="true" hidden="false" outlineLevel="0" max="5" min="5" style="0" width="40"/>
    <col collapsed="false" customWidth="true" hidden="false" outlineLevel="0" max="6" min="6" style="0" width="14"/>
    <col collapsed="false" customWidth="true" hidden="false" outlineLevel="0" max="7" min="7" style="0" width="13"/>
    <col collapsed="false" customWidth="true" hidden="false" outlineLevel="0" max="8" min="8" style="0" width="12"/>
    <col collapsed="false" customWidth="true" hidden="false" outlineLevel="0" max="9" min="9" style="0" width="14"/>
  </cols>
  <sheetData>
    <row r="1" customFormat="false" ht="17.35" hidden="false" customHeight="false" outlineLevel="0" collapsed="false">
      <c r="A1" s="1" t="s">
        <v>119</v>
      </c>
    </row>
    <row r="2" customFormat="false" ht="15" hidden="false" customHeight="false" outlineLevel="0" collapsed="false">
      <c r="A2" s="2" t="s">
        <v>120</v>
      </c>
    </row>
    <row r="3" customFormat="false" ht="15" hidden="false" customHeight="false" outlineLevel="0" collapsed="false">
      <c r="A3" s="18" t="s">
        <v>99</v>
      </c>
    </row>
    <row r="4" customFormat="false" ht="31.5" hidden="false" customHeight="true" outlineLevel="0" collapsed="false">
      <c r="A4" s="7" t="s">
        <v>121</v>
      </c>
      <c r="B4" s="7" t="s">
        <v>62</v>
      </c>
      <c r="C4" s="7" t="s">
        <v>58</v>
      </c>
      <c r="D4" s="7" t="s">
        <v>122</v>
      </c>
      <c r="E4" s="7" t="s">
        <v>123</v>
      </c>
      <c r="F4" s="7" t="s">
        <v>124</v>
      </c>
      <c r="G4" s="7" t="s">
        <v>104</v>
      </c>
      <c r="H4" s="7" t="s">
        <v>125</v>
      </c>
      <c r="I4" s="7" t="s">
        <v>40</v>
      </c>
    </row>
    <row r="5" customFormat="false" ht="15" hidden="false" customHeight="false" outlineLevel="0" collapsed="false">
      <c r="A5" s="15" t="n">
        <v>46269</v>
      </c>
      <c r="B5" s="16" t="s">
        <v>105</v>
      </c>
      <c r="C5" s="16" t="s">
        <v>93</v>
      </c>
      <c r="D5" s="16" t="s">
        <v>126</v>
      </c>
      <c r="E5" s="16" t="s">
        <v>127</v>
      </c>
      <c r="F5" s="16" t="s">
        <v>128</v>
      </c>
      <c r="G5" s="16" t="s">
        <v>115</v>
      </c>
      <c r="H5" s="19" t="str">
        <f aca="false">IF(OR(B5="",G5="Live",G5="Done"),"",IF(A5&lt;Settings!$B$5,"Overdue",""))</f>
        <v/>
      </c>
      <c r="I5" s="19" t="str">
        <f aca="false">IF(B5="","",IF(COUNTIF(Campaigns!$A$5:$A$24,B5)=0,"ID not found","OK"))</f>
        <v>OK</v>
      </c>
    </row>
    <row r="6" customFormat="false" ht="15" hidden="false" customHeight="false" outlineLevel="0" collapsed="false">
      <c r="A6" s="15" t="n">
        <v>46271</v>
      </c>
      <c r="B6" s="16" t="s">
        <v>109</v>
      </c>
      <c r="C6" s="16" t="s">
        <v>93</v>
      </c>
      <c r="D6" s="16" t="s">
        <v>129</v>
      </c>
      <c r="E6" s="16" t="s">
        <v>130</v>
      </c>
      <c r="F6" s="16" t="s">
        <v>131</v>
      </c>
      <c r="G6" s="16" t="s">
        <v>115</v>
      </c>
      <c r="H6" s="19" t="str">
        <f aca="false">IF(OR(B6="",G6="Live",G6="Done"),"",IF(A6&lt;Settings!$B$5,"Overdue",""))</f>
        <v/>
      </c>
      <c r="I6" s="19" t="str">
        <f aca="false">IF(B6="","",IF(COUNTIF(Campaigns!$A$5:$A$24,B6)=0,"ID not found","OK"))</f>
        <v>OK</v>
      </c>
    </row>
    <row r="7" customFormat="false" ht="15" hidden="false" customHeight="false" outlineLevel="0" collapsed="false">
      <c r="A7" s="15" t="n">
        <v>46272</v>
      </c>
      <c r="B7" s="16" t="s">
        <v>112</v>
      </c>
      <c r="C7" s="16" t="s">
        <v>95</v>
      </c>
      <c r="D7" s="16" t="s">
        <v>132</v>
      </c>
      <c r="E7" s="16" t="s">
        <v>133</v>
      </c>
      <c r="F7" s="16" t="s">
        <v>134</v>
      </c>
      <c r="G7" s="16" t="s">
        <v>115</v>
      </c>
      <c r="H7" s="19" t="str">
        <f aca="false">IF(OR(B7="",G7="Live",G7="Done"),"",IF(A7&lt;Settings!$B$5,"Overdue",""))</f>
        <v/>
      </c>
      <c r="I7" s="19" t="str">
        <f aca="false">IF(B7="","",IF(COUNTIF(Campaigns!$A$5:$A$24,B7)=0,"ID not found","OK"))</f>
        <v>OK</v>
      </c>
    </row>
    <row r="8" customFormat="false" ht="15" hidden="false" customHeight="false" outlineLevel="0" collapsed="false">
      <c r="A8" s="15" t="n">
        <v>46275</v>
      </c>
      <c r="B8" s="16" t="s">
        <v>116</v>
      </c>
      <c r="C8" s="16" t="s">
        <v>90</v>
      </c>
      <c r="D8" s="16" t="s">
        <v>126</v>
      </c>
      <c r="E8" s="16" t="s">
        <v>135</v>
      </c>
      <c r="F8" s="16" t="s">
        <v>136</v>
      </c>
      <c r="G8" s="16" t="s">
        <v>115</v>
      </c>
      <c r="H8" s="19" t="str">
        <f aca="false">IF(OR(B8="",G8="Live",G8="Done"),"",IF(A8&lt;Settings!$B$5,"Overdue",""))</f>
        <v/>
      </c>
      <c r="I8" s="19" t="str">
        <f aca="false">IF(B8="","",IF(COUNTIF(Campaigns!$A$5:$A$24,B8)=0,"ID not found","OK"))</f>
        <v>OK</v>
      </c>
    </row>
    <row r="9" customFormat="false" ht="15" hidden="false" customHeight="false" outlineLevel="0" collapsed="false">
      <c r="A9" s="15" t="n">
        <v>46276</v>
      </c>
      <c r="B9" s="16" t="s">
        <v>105</v>
      </c>
      <c r="C9" s="16" t="s">
        <v>90</v>
      </c>
      <c r="D9" s="16" t="s">
        <v>137</v>
      </c>
      <c r="E9" s="16" t="s">
        <v>138</v>
      </c>
      <c r="F9" s="16" t="s">
        <v>128</v>
      </c>
      <c r="G9" s="16" t="s">
        <v>115</v>
      </c>
      <c r="H9" s="19" t="str">
        <f aca="false">IF(OR(B9="",G9="Live",G9="Done"),"",IF(A9&lt;Settings!$B$5,"Overdue",""))</f>
        <v/>
      </c>
      <c r="I9" s="19" t="str">
        <f aca="false">IF(B9="","",IF(COUNTIF(Campaigns!$A$5:$A$24,B9)=0,"ID not found","OK"))</f>
        <v>OK</v>
      </c>
    </row>
    <row r="10" customFormat="false" ht="15" hidden="false" customHeight="false" outlineLevel="0" collapsed="false">
      <c r="A10" s="15" t="n">
        <v>46279</v>
      </c>
      <c r="B10" s="16" t="s">
        <v>109</v>
      </c>
      <c r="C10" s="16" t="s">
        <v>93</v>
      </c>
      <c r="D10" s="16" t="s">
        <v>95</v>
      </c>
      <c r="E10" s="16" t="s">
        <v>139</v>
      </c>
      <c r="F10" s="16" t="s">
        <v>131</v>
      </c>
      <c r="G10" s="16" t="s">
        <v>115</v>
      </c>
      <c r="H10" s="19" t="str">
        <f aca="false">IF(OR(B10="",G10="Live",G10="Done"),"",IF(A10&lt;Settings!$B$5,"Overdue",""))</f>
        <v/>
      </c>
      <c r="I10" s="19" t="str">
        <f aca="false">IF(B10="","",IF(COUNTIF(Campaigns!$A$5:$A$24,B10)=0,"ID not found","OK"))</f>
        <v>OK</v>
      </c>
    </row>
    <row r="11" customFormat="false" ht="15" hidden="false" customHeight="false" outlineLevel="0" collapsed="false">
      <c r="A11" s="15" t="n">
        <v>46280</v>
      </c>
      <c r="B11" s="16" t="s">
        <v>112</v>
      </c>
      <c r="C11" s="16" t="s">
        <v>96</v>
      </c>
      <c r="D11" s="16" t="s">
        <v>137</v>
      </c>
      <c r="E11" s="16" t="s">
        <v>140</v>
      </c>
      <c r="F11" s="16" t="s">
        <v>134</v>
      </c>
      <c r="G11" s="16" t="s">
        <v>141</v>
      </c>
      <c r="H11" s="19" t="str">
        <f aca="false">IF(OR(B11="",G11="Live",G11="Done"),"",IF(A11&lt;Settings!$B$5,"Overdue",""))</f>
        <v>Overdue</v>
      </c>
      <c r="I11" s="19" t="str">
        <f aca="false">IF(B11="","",IF(COUNTIF(Campaigns!$A$5:$A$24,B11)=0,"ID not found","OK"))</f>
        <v>OK</v>
      </c>
    </row>
    <row r="12" customFormat="false" ht="15" hidden="false" customHeight="false" outlineLevel="0" collapsed="false">
      <c r="A12" s="15" t="n">
        <v>46282</v>
      </c>
      <c r="B12" s="16" t="s">
        <v>116</v>
      </c>
      <c r="C12" s="16" t="s">
        <v>96</v>
      </c>
      <c r="D12" s="16" t="s">
        <v>126</v>
      </c>
      <c r="E12" s="16" t="s">
        <v>142</v>
      </c>
      <c r="F12" s="16" t="s">
        <v>136</v>
      </c>
      <c r="G12" s="16" t="s">
        <v>115</v>
      </c>
      <c r="H12" s="19" t="str">
        <f aca="false">IF(OR(B12="",G12="Live",G12="Done"),"",IF(A12&lt;Settings!$B$5,"Overdue",""))</f>
        <v/>
      </c>
      <c r="I12" s="19" t="str">
        <f aca="false">IF(B12="","",IF(COUNTIF(Campaigns!$A$5:$A$24,B12)=0,"ID not found","OK"))</f>
        <v>OK</v>
      </c>
    </row>
    <row r="13" customFormat="false" ht="15" hidden="false" customHeight="false" outlineLevel="0" collapsed="false">
      <c r="A13" s="15" t="n">
        <v>46285</v>
      </c>
      <c r="B13" s="16" t="s">
        <v>105</v>
      </c>
      <c r="C13" s="16" t="s">
        <v>90</v>
      </c>
      <c r="D13" s="16" t="s">
        <v>129</v>
      </c>
      <c r="E13" s="16" t="s">
        <v>143</v>
      </c>
      <c r="F13" s="16" t="s">
        <v>128</v>
      </c>
      <c r="G13" s="16" t="s">
        <v>115</v>
      </c>
      <c r="H13" s="19" t="str">
        <f aca="false">IF(OR(B13="",G13="Live",G13="Done"),"",IF(A13&lt;Settings!$B$5,"Overdue",""))</f>
        <v/>
      </c>
      <c r="I13" s="19" t="str">
        <f aca="false">IF(B13="","",IF(COUNTIF(Campaigns!$A$5:$A$24,B13)=0,"ID not found","OK"))</f>
        <v>OK</v>
      </c>
    </row>
    <row r="14" customFormat="false" ht="15" hidden="false" customHeight="false" outlineLevel="0" collapsed="false">
      <c r="A14" s="15" t="n">
        <v>46286</v>
      </c>
      <c r="B14" s="16" t="s">
        <v>109</v>
      </c>
      <c r="C14" s="16" t="s">
        <v>95</v>
      </c>
      <c r="D14" s="16" t="s">
        <v>126</v>
      </c>
      <c r="E14" s="16" t="s">
        <v>144</v>
      </c>
      <c r="F14" s="16" t="s">
        <v>131</v>
      </c>
      <c r="G14" s="16" t="s">
        <v>115</v>
      </c>
      <c r="H14" s="19" t="str">
        <f aca="false">IF(OR(B14="",G14="Live",G14="Done"),"",IF(A14&lt;Settings!$B$5,"Overdue",""))</f>
        <v/>
      </c>
      <c r="I14" s="19" t="str">
        <f aca="false">IF(B14="","",IF(COUNTIF(Campaigns!$A$5:$A$24,B14)=0,"ID not found","OK"))</f>
        <v>OK</v>
      </c>
    </row>
    <row r="15" customFormat="false" ht="15" hidden="false" customHeight="false" outlineLevel="0" collapsed="false">
      <c r="A15" s="15" t="n">
        <v>46288</v>
      </c>
      <c r="B15" s="16" t="s">
        <v>112</v>
      </c>
      <c r="C15" s="16" t="s">
        <v>95</v>
      </c>
      <c r="D15" s="16" t="s">
        <v>126</v>
      </c>
      <c r="E15" s="16" t="s">
        <v>127</v>
      </c>
      <c r="F15" s="16" t="s">
        <v>134</v>
      </c>
      <c r="G15" s="16" t="s">
        <v>115</v>
      </c>
      <c r="H15" s="19" t="str">
        <f aca="false">IF(OR(B15="",G15="Live",G15="Done"),"",IF(A15&lt;Settings!$B$5,"Overdue",""))</f>
        <v/>
      </c>
      <c r="I15" s="19" t="str">
        <f aca="false">IF(B15="","",IF(COUNTIF(Campaigns!$A$5:$A$24,B15)=0,"ID not found","OK"))</f>
        <v>OK</v>
      </c>
    </row>
    <row r="16" customFormat="false" ht="15" hidden="false" customHeight="false" outlineLevel="0" collapsed="false">
      <c r="A16" s="15" t="n">
        <v>46290</v>
      </c>
      <c r="B16" s="16" t="s">
        <v>116</v>
      </c>
      <c r="C16" s="16" t="s">
        <v>96</v>
      </c>
      <c r="D16" s="16" t="s">
        <v>137</v>
      </c>
      <c r="E16" s="16" t="s">
        <v>130</v>
      </c>
      <c r="F16" s="16" t="s">
        <v>136</v>
      </c>
      <c r="G16" s="16" t="s">
        <v>141</v>
      </c>
      <c r="H16" s="19" t="str">
        <f aca="false">IF(OR(B16="",G16="Live",G16="Done"),"",IF(A16&lt;Settings!$B$5,"Overdue",""))</f>
        <v>Overdue</v>
      </c>
      <c r="I16" s="19" t="str">
        <f aca="false">IF(B16="","",IF(COUNTIF(Campaigns!$A$5:$A$24,B16)=0,"ID not found","OK"))</f>
        <v>OK</v>
      </c>
    </row>
    <row r="17" customFormat="false" ht="15" hidden="false" customHeight="false" outlineLevel="0" collapsed="false">
      <c r="A17" s="15" t="n">
        <v>46292</v>
      </c>
      <c r="B17" s="16" t="s">
        <v>105</v>
      </c>
      <c r="C17" s="16" t="s">
        <v>93</v>
      </c>
      <c r="D17" s="16" t="s">
        <v>132</v>
      </c>
      <c r="E17" s="16" t="s">
        <v>133</v>
      </c>
      <c r="F17" s="16" t="s">
        <v>128</v>
      </c>
      <c r="G17" s="16" t="s">
        <v>115</v>
      </c>
      <c r="H17" s="19" t="str">
        <f aca="false">IF(OR(B17="",G17="Live",G17="Done"),"",IF(A17&lt;Settings!$B$5,"Overdue",""))</f>
        <v/>
      </c>
      <c r="I17" s="19" t="str">
        <f aca="false">IF(B17="","",IF(COUNTIF(Campaigns!$A$5:$A$24,B17)=0,"ID not found","OK"))</f>
        <v>OK</v>
      </c>
    </row>
    <row r="18" customFormat="false" ht="15" hidden="false" customHeight="false" outlineLevel="0" collapsed="false">
      <c r="A18" s="15" t="n">
        <v>46294</v>
      </c>
      <c r="B18" s="16" t="s">
        <v>109</v>
      </c>
      <c r="C18" s="16" t="s">
        <v>93</v>
      </c>
      <c r="D18" s="16" t="s">
        <v>126</v>
      </c>
      <c r="E18" s="16" t="s">
        <v>135</v>
      </c>
      <c r="F18" s="16" t="s">
        <v>131</v>
      </c>
      <c r="G18" s="16" t="s">
        <v>115</v>
      </c>
      <c r="H18" s="19" t="str">
        <f aca="false">IF(OR(B18="",G18="Live",G18="Done"),"",IF(A18&lt;Settings!$B$5,"Overdue",""))</f>
        <v/>
      </c>
      <c r="I18" s="19" t="str">
        <f aca="false">IF(B18="","",IF(COUNTIF(Campaigns!$A$5:$A$24,B18)=0,"ID not found","OK"))</f>
        <v>OK</v>
      </c>
    </row>
    <row r="19" customFormat="false" ht="15" hidden="false" customHeight="false" outlineLevel="0" collapsed="false">
      <c r="A19" s="15" t="n">
        <v>46296</v>
      </c>
      <c r="B19" s="16" t="s">
        <v>112</v>
      </c>
      <c r="C19" s="16" t="s">
        <v>95</v>
      </c>
      <c r="D19" s="16" t="s">
        <v>129</v>
      </c>
      <c r="E19" s="16" t="s">
        <v>138</v>
      </c>
      <c r="F19" s="16" t="s">
        <v>134</v>
      </c>
      <c r="G19" s="16" t="s">
        <v>115</v>
      </c>
      <c r="H19" s="19" t="str">
        <f aca="false">IF(OR(B19="",G19="Live",G19="Done"),"",IF(A19&lt;Settings!$B$5,"Overdue",""))</f>
        <v/>
      </c>
      <c r="I19" s="19" t="str">
        <f aca="false">IF(B19="","",IF(COUNTIF(Campaigns!$A$5:$A$24,B19)=0,"ID not found","OK"))</f>
        <v>OK</v>
      </c>
    </row>
    <row r="20" customFormat="false" ht="15" hidden="false" customHeight="false" outlineLevel="0" collapsed="false">
      <c r="A20" s="15" t="n">
        <v>46299</v>
      </c>
      <c r="B20" s="16" t="s">
        <v>116</v>
      </c>
      <c r="C20" s="16" t="s">
        <v>90</v>
      </c>
      <c r="D20" s="16" t="s">
        <v>129</v>
      </c>
      <c r="E20" s="16" t="s">
        <v>139</v>
      </c>
      <c r="F20" s="16" t="s">
        <v>136</v>
      </c>
      <c r="G20" s="16" t="s">
        <v>115</v>
      </c>
      <c r="H20" s="19" t="str">
        <f aca="false">IF(OR(B20="",G20="Live",G20="Done"),"",IF(A20&lt;Settings!$B$5,"Overdue",""))</f>
        <v/>
      </c>
      <c r="I20" s="19" t="str">
        <f aca="false">IF(B20="","",IF(COUNTIF(Campaigns!$A$5:$A$24,B20)=0,"ID not found","OK"))</f>
        <v>OK</v>
      </c>
    </row>
    <row r="21" customFormat="false" ht="15" hidden="false" customHeight="false" outlineLevel="0" collapsed="false">
      <c r="A21" s="15" t="n">
        <v>46300</v>
      </c>
      <c r="B21" s="16" t="s">
        <v>105</v>
      </c>
      <c r="C21" s="16" t="s">
        <v>90</v>
      </c>
      <c r="D21" s="16" t="s">
        <v>126</v>
      </c>
      <c r="E21" s="16" t="s">
        <v>140</v>
      </c>
      <c r="F21" s="16" t="s">
        <v>128</v>
      </c>
      <c r="G21" s="16" t="s">
        <v>115</v>
      </c>
      <c r="H21" s="19" t="str">
        <f aca="false">IF(OR(B21="",G21="Live",G21="Done"),"",IF(A21&lt;Settings!$B$5,"Overdue",""))</f>
        <v/>
      </c>
      <c r="I21" s="19" t="str">
        <f aca="false">IF(B21="","",IF(COUNTIF(Campaigns!$A$5:$A$24,B21)=0,"ID not found","OK"))</f>
        <v>OK</v>
      </c>
    </row>
    <row r="22" customFormat="false" ht="15" hidden="false" customHeight="false" outlineLevel="0" collapsed="false">
      <c r="A22" s="15" t="n">
        <v>46302</v>
      </c>
      <c r="B22" s="16" t="s">
        <v>109</v>
      </c>
      <c r="C22" s="16" t="s">
        <v>93</v>
      </c>
      <c r="D22" s="16" t="s">
        <v>95</v>
      </c>
      <c r="E22" s="16" t="s">
        <v>142</v>
      </c>
      <c r="F22" s="16" t="s">
        <v>131</v>
      </c>
      <c r="G22" s="16" t="s">
        <v>115</v>
      </c>
      <c r="H22" s="19" t="str">
        <f aca="false">IF(OR(B22="",G22="Live",G22="Done"),"",IF(A22&lt;Settings!$B$5,"Overdue",""))</f>
        <v/>
      </c>
      <c r="I22" s="19" t="str">
        <f aca="false">IF(B22="","",IF(COUNTIF(Campaigns!$A$5:$A$24,B22)=0,"ID not found","OK"))</f>
        <v>OK</v>
      </c>
    </row>
    <row r="23" customFormat="false" ht="15" hidden="false" customHeight="false" outlineLevel="0" collapsed="false">
      <c r="A23" s="15" t="n">
        <v>46305</v>
      </c>
      <c r="B23" s="16" t="s">
        <v>112</v>
      </c>
      <c r="C23" s="16" t="s">
        <v>96</v>
      </c>
      <c r="D23" s="16" t="s">
        <v>137</v>
      </c>
      <c r="E23" s="16" t="s">
        <v>143</v>
      </c>
      <c r="F23" s="16" t="s">
        <v>134</v>
      </c>
      <c r="G23" s="16" t="s">
        <v>115</v>
      </c>
      <c r="H23" s="19" t="str">
        <f aca="false">IF(OR(B23="",G23="Live",G23="Done"),"",IF(A23&lt;Settings!$B$5,"Overdue",""))</f>
        <v/>
      </c>
      <c r="I23" s="19" t="str">
        <f aca="false">IF(B23="","",IF(COUNTIF(Campaigns!$A$5:$A$24,B23)=0,"ID not found","OK"))</f>
        <v>OK</v>
      </c>
    </row>
    <row r="24" customFormat="false" ht="15" hidden="false" customHeight="false" outlineLevel="0" collapsed="false">
      <c r="A24" s="15" t="n">
        <v>46306</v>
      </c>
      <c r="B24" s="16" t="s">
        <v>116</v>
      </c>
      <c r="C24" s="16" t="s">
        <v>96</v>
      </c>
      <c r="D24" s="16" t="s">
        <v>129</v>
      </c>
      <c r="E24" s="16" t="s">
        <v>144</v>
      </c>
      <c r="F24" s="16" t="s">
        <v>136</v>
      </c>
      <c r="G24" s="16" t="s">
        <v>115</v>
      </c>
      <c r="H24" s="19" t="str">
        <f aca="false">IF(OR(B24="",G24="Live",G24="Done"),"",IF(A24&lt;Settings!$B$5,"Overdue",""))</f>
        <v/>
      </c>
      <c r="I24" s="19" t="str">
        <f aca="false">IF(B24="","",IF(COUNTIF(Campaigns!$A$5:$A$24,B24)=0,"ID not found","OK"))</f>
        <v>OK</v>
      </c>
    </row>
    <row r="25" customFormat="false" ht="15" hidden="false" customHeight="false" outlineLevel="0" collapsed="false">
      <c r="A25" s="15" t="n">
        <v>46309</v>
      </c>
      <c r="B25" s="16" t="s">
        <v>105</v>
      </c>
      <c r="C25" s="16" t="s">
        <v>90</v>
      </c>
      <c r="D25" s="16" t="s">
        <v>129</v>
      </c>
      <c r="E25" s="16" t="s">
        <v>127</v>
      </c>
      <c r="F25" s="16" t="s">
        <v>128</v>
      </c>
      <c r="G25" s="16" t="s">
        <v>108</v>
      </c>
      <c r="H25" s="19" t="str">
        <f aca="false">IF(OR(B25="",G25="Live",G25="Done"),"",IF(A25&lt;Settings!$B$5,"Overdue",""))</f>
        <v/>
      </c>
      <c r="I25" s="19" t="str">
        <f aca="false">IF(B25="","",IF(COUNTIF(Campaigns!$A$5:$A$24,B25)=0,"ID not found","OK"))</f>
        <v>OK</v>
      </c>
    </row>
    <row r="26" customFormat="false" ht="15" hidden="false" customHeight="false" outlineLevel="0" collapsed="false">
      <c r="A26" s="15" t="n">
        <v>46310</v>
      </c>
      <c r="B26" s="16" t="s">
        <v>109</v>
      </c>
      <c r="C26" s="16" t="s">
        <v>95</v>
      </c>
      <c r="D26" s="16" t="s">
        <v>95</v>
      </c>
      <c r="E26" s="16" t="s">
        <v>130</v>
      </c>
      <c r="F26" s="16" t="s">
        <v>131</v>
      </c>
      <c r="G26" s="16" t="s">
        <v>108</v>
      </c>
      <c r="H26" s="19" t="str">
        <f aca="false">IF(OR(B26="",G26="Live",G26="Done"),"",IF(A26&lt;Settings!$B$5,"Overdue",""))</f>
        <v/>
      </c>
      <c r="I26" s="19" t="str">
        <f aca="false">IF(B26="","",IF(COUNTIF(Campaigns!$A$5:$A$24,B26)=0,"ID not found","OK"))</f>
        <v>OK</v>
      </c>
    </row>
    <row r="27" customFormat="false" ht="15" hidden="false" customHeight="false" outlineLevel="0" collapsed="false">
      <c r="A27" s="15" t="n">
        <v>46313</v>
      </c>
      <c r="B27" s="16" t="s">
        <v>112</v>
      </c>
      <c r="C27" s="16" t="s">
        <v>95</v>
      </c>
      <c r="D27" s="16" t="s">
        <v>132</v>
      </c>
      <c r="E27" s="16" t="s">
        <v>133</v>
      </c>
      <c r="F27" s="16" t="s">
        <v>134</v>
      </c>
      <c r="G27" s="16" t="s">
        <v>108</v>
      </c>
      <c r="H27" s="19" t="str">
        <f aca="false">IF(OR(B27="",G27="Live",G27="Done"),"",IF(A27&lt;Settings!$B$5,"Overdue",""))</f>
        <v/>
      </c>
      <c r="I27" s="19" t="str">
        <f aca="false">IF(B27="","",IF(COUNTIF(Campaigns!$A$5:$A$24,B27)=0,"ID not found","OK"))</f>
        <v>OK</v>
      </c>
    </row>
    <row r="28" customFormat="false" ht="15" hidden="false" customHeight="false" outlineLevel="0" collapsed="false">
      <c r="A28" s="15" t="n">
        <v>46315</v>
      </c>
      <c r="B28" s="16" t="s">
        <v>116</v>
      </c>
      <c r="C28" s="16" t="s">
        <v>96</v>
      </c>
      <c r="D28" s="16" t="s">
        <v>137</v>
      </c>
      <c r="E28" s="16" t="s">
        <v>135</v>
      </c>
      <c r="F28" s="16" t="s">
        <v>136</v>
      </c>
      <c r="G28" s="16" t="s">
        <v>108</v>
      </c>
      <c r="H28" s="19" t="str">
        <f aca="false">IF(OR(B28="",G28="Live",G28="Done"),"",IF(A28&lt;Settings!$B$5,"Overdue",""))</f>
        <v/>
      </c>
      <c r="I28" s="19" t="str">
        <f aca="false">IF(B28="","",IF(COUNTIF(Campaigns!$A$5:$A$24,B28)=0,"ID not found","OK"))</f>
        <v>OK</v>
      </c>
    </row>
    <row r="29" customFormat="false" ht="15" hidden="false" customHeight="false" outlineLevel="0" collapsed="false">
      <c r="A29" s="15" t="n">
        <v>46316</v>
      </c>
      <c r="B29" s="16" t="s">
        <v>105</v>
      </c>
      <c r="C29" s="16" t="s">
        <v>93</v>
      </c>
      <c r="D29" s="16" t="s">
        <v>126</v>
      </c>
      <c r="E29" s="16" t="s">
        <v>138</v>
      </c>
      <c r="F29" s="16" t="s">
        <v>128</v>
      </c>
      <c r="G29" s="16" t="s">
        <v>108</v>
      </c>
      <c r="H29" s="19" t="str">
        <f aca="false">IF(OR(B29="",G29="Live",G29="Done"),"",IF(A29&lt;Settings!$B$5,"Overdue",""))</f>
        <v/>
      </c>
      <c r="I29" s="19" t="str">
        <f aca="false">IF(B29="","",IF(COUNTIF(Campaigns!$A$5:$A$24,B29)=0,"ID not found","OK"))</f>
        <v>OK</v>
      </c>
    </row>
    <row r="30" customFormat="false" ht="15" hidden="false" customHeight="false" outlineLevel="0" collapsed="false">
      <c r="A30" s="15" t="n">
        <v>46318</v>
      </c>
      <c r="B30" s="16" t="s">
        <v>109</v>
      </c>
      <c r="C30" s="16" t="s">
        <v>93</v>
      </c>
      <c r="D30" s="16" t="s">
        <v>137</v>
      </c>
      <c r="E30" s="16" t="s">
        <v>139</v>
      </c>
      <c r="F30" s="16" t="s">
        <v>131</v>
      </c>
      <c r="G30" s="16" t="s">
        <v>141</v>
      </c>
      <c r="H30" s="19" t="str">
        <f aca="false">IF(OR(B30="",G30="Live",G30="Done"),"",IF(A30&lt;Settings!$B$5,"Overdue",""))</f>
        <v>Overdue</v>
      </c>
      <c r="I30" s="19" t="str">
        <f aca="false">IF(B30="","",IF(COUNTIF(Campaigns!$A$5:$A$24,B30)=0,"ID not found","OK"))</f>
        <v>OK</v>
      </c>
    </row>
    <row r="31" customFormat="false" ht="15" hidden="false" customHeight="false" outlineLevel="0" collapsed="false">
      <c r="A31" s="15"/>
      <c r="B31" s="16"/>
      <c r="C31" s="16"/>
      <c r="D31" s="16"/>
      <c r="E31" s="16"/>
      <c r="F31" s="16"/>
      <c r="G31" s="16"/>
      <c r="H31" s="19" t="str">
        <f aca="false">IF(OR(B31="",G31="Live",G31="Done"),"",IF(A31&lt;Settings!$B$5,"Overdue",""))</f>
        <v/>
      </c>
      <c r="I31" s="19" t="str">
        <f aca="false">IF(B31="","",IF(COUNTIF(Campaigns!$A$5:$A$24,B31)=0,"ID not found","OK"))</f>
        <v/>
      </c>
    </row>
    <row r="32" customFormat="false" ht="15" hidden="false" customHeight="false" outlineLevel="0" collapsed="false">
      <c r="A32" s="15"/>
      <c r="B32" s="16"/>
      <c r="C32" s="16"/>
      <c r="D32" s="16"/>
      <c r="E32" s="16"/>
      <c r="F32" s="16"/>
      <c r="G32" s="16"/>
      <c r="H32" s="19" t="str">
        <f aca="false">IF(OR(B32="",G32="Live",G32="Done"),"",IF(A32&lt;Settings!$B$5,"Overdue",""))</f>
        <v/>
      </c>
      <c r="I32" s="19" t="str">
        <f aca="false">IF(B32="","",IF(COUNTIF(Campaigns!$A$5:$A$24,B32)=0,"ID not found","OK"))</f>
        <v/>
      </c>
    </row>
    <row r="33" customFormat="false" ht="15" hidden="false" customHeight="false" outlineLevel="0" collapsed="false">
      <c r="A33" s="15"/>
      <c r="B33" s="16"/>
      <c r="C33" s="16"/>
      <c r="D33" s="16"/>
      <c r="E33" s="16"/>
      <c r="F33" s="16"/>
      <c r="G33" s="16"/>
      <c r="H33" s="19" t="str">
        <f aca="false">IF(OR(B33="",G33="Live",G33="Done"),"",IF(A33&lt;Settings!$B$5,"Overdue",""))</f>
        <v/>
      </c>
      <c r="I33" s="19" t="str">
        <f aca="false">IF(B33="","",IF(COUNTIF(Campaigns!$A$5:$A$24,B33)=0,"ID not found","OK"))</f>
        <v/>
      </c>
    </row>
    <row r="34" customFormat="false" ht="15" hidden="false" customHeight="false" outlineLevel="0" collapsed="false">
      <c r="A34" s="15"/>
      <c r="B34" s="16"/>
      <c r="C34" s="16"/>
      <c r="D34" s="16"/>
      <c r="E34" s="16"/>
      <c r="F34" s="16"/>
      <c r="G34" s="16"/>
      <c r="H34" s="19" t="str">
        <f aca="false">IF(OR(B34="",G34="Live",G34="Done"),"",IF(A34&lt;Settings!$B$5,"Overdue",""))</f>
        <v/>
      </c>
      <c r="I34" s="19" t="str">
        <f aca="false">IF(B34="","",IF(COUNTIF(Campaigns!$A$5:$A$24,B34)=0,"ID not found","OK"))</f>
        <v/>
      </c>
    </row>
    <row r="35" customFormat="false" ht="15" hidden="false" customHeight="false" outlineLevel="0" collapsed="false">
      <c r="A35" s="15"/>
      <c r="B35" s="16"/>
      <c r="C35" s="16"/>
      <c r="D35" s="16"/>
      <c r="E35" s="16"/>
      <c r="F35" s="16"/>
      <c r="G35" s="16"/>
      <c r="H35" s="19" t="str">
        <f aca="false">IF(OR(B35="",G35="Live",G35="Done"),"",IF(A35&lt;Settings!$B$5,"Overdue",""))</f>
        <v/>
      </c>
      <c r="I35" s="19" t="str">
        <f aca="false">IF(B35="","",IF(COUNTIF(Campaigns!$A$5:$A$24,B35)=0,"ID not found","OK"))</f>
        <v/>
      </c>
    </row>
    <row r="36" customFormat="false" ht="15" hidden="false" customHeight="false" outlineLevel="0" collapsed="false">
      <c r="A36" s="15"/>
      <c r="B36" s="16"/>
      <c r="C36" s="16"/>
      <c r="D36" s="16"/>
      <c r="E36" s="16"/>
      <c r="F36" s="16"/>
      <c r="G36" s="16"/>
      <c r="H36" s="19" t="str">
        <f aca="false">IF(OR(B36="",G36="Live",G36="Done"),"",IF(A36&lt;Settings!$B$5,"Overdue",""))</f>
        <v/>
      </c>
      <c r="I36" s="19" t="str">
        <f aca="false">IF(B36="","",IF(COUNTIF(Campaigns!$A$5:$A$24,B36)=0,"ID not found","OK"))</f>
        <v/>
      </c>
    </row>
    <row r="37" customFormat="false" ht="15" hidden="false" customHeight="false" outlineLevel="0" collapsed="false">
      <c r="A37" s="15"/>
      <c r="B37" s="16"/>
      <c r="C37" s="16"/>
      <c r="D37" s="16"/>
      <c r="E37" s="16"/>
      <c r="F37" s="16"/>
      <c r="G37" s="16"/>
      <c r="H37" s="19" t="str">
        <f aca="false">IF(OR(B37="",G37="Live",G37="Done"),"",IF(A37&lt;Settings!$B$5,"Overdue",""))</f>
        <v/>
      </c>
      <c r="I37" s="19" t="str">
        <f aca="false">IF(B37="","",IF(COUNTIF(Campaigns!$A$5:$A$24,B37)=0,"ID not found","OK"))</f>
        <v/>
      </c>
    </row>
    <row r="38" customFormat="false" ht="15" hidden="false" customHeight="false" outlineLevel="0" collapsed="false">
      <c r="A38" s="15"/>
      <c r="B38" s="16"/>
      <c r="C38" s="16"/>
      <c r="D38" s="16"/>
      <c r="E38" s="16"/>
      <c r="F38" s="16"/>
      <c r="G38" s="16"/>
      <c r="H38" s="19" t="str">
        <f aca="false">IF(OR(B38="",G38="Live",G38="Done"),"",IF(A38&lt;Settings!$B$5,"Overdue",""))</f>
        <v/>
      </c>
      <c r="I38" s="19" t="str">
        <f aca="false">IF(B38="","",IF(COUNTIF(Campaigns!$A$5:$A$24,B38)=0,"ID not found","OK"))</f>
        <v/>
      </c>
    </row>
    <row r="39" customFormat="false" ht="15" hidden="false" customHeight="false" outlineLevel="0" collapsed="false">
      <c r="A39" s="15"/>
      <c r="B39" s="16"/>
      <c r="C39" s="16"/>
      <c r="D39" s="16"/>
      <c r="E39" s="16"/>
      <c r="F39" s="16"/>
      <c r="G39" s="16"/>
      <c r="H39" s="19" t="str">
        <f aca="false">IF(OR(B39="",G39="Live",G39="Done"),"",IF(A39&lt;Settings!$B$5,"Overdue",""))</f>
        <v/>
      </c>
      <c r="I39" s="19" t="str">
        <f aca="false">IF(B39="","",IF(COUNTIF(Campaigns!$A$5:$A$24,B39)=0,"ID not found","OK"))</f>
        <v/>
      </c>
    </row>
    <row r="40" customFormat="false" ht="15" hidden="false" customHeight="false" outlineLevel="0" collapsed="false">
      <c r="A40" s="15"/>
      <c r="B40" s="16"/>
      <c r="C40" s="16"/>
      <c r="D40" s="16"/>
      <c r="E40" s="16"/>
      <c r="F40" s="16"/>
      <c r="G40" s="16"/>
      <c r="H40" s="19" t="str">
        <f aca="false">IF(OR(B40="",G40="Live",G40="Done"),"",IF(A40&lt;Settings!$B$5,"Overdue",""))</f>
        <v/>
      </c>
      <c r="I40" s="19" t="str">
        <f aca="false">IF(B40="","",IF(COUNTIF(Campaigns!$A$5:$A$24,B40)=0,"ID not found","OK"))</f>
        <v/>
      </c>
    </row>
    <row r="41" customFormat="false" ht="15" hidden="false" customHeight="false" outlineLevel="0" collapsed="false">
      <c r="A41" s="15"/>
      <c r="B41" s="16"/>
      <c r="C41" s="16"/>
      <c r="D41" s="16"/>
      <c r="E41" s="16"/>
      <c r="F41" s="16"/>
      <c r="G41" s="16"/>
      <c r="H41" s="19" t="str">
        <f aca="false">IF(OR(B41="",G41="Live",G41="Done"),"",IF(A41&lt;Settings!$B$5,"Overdue",""))</f>
        <v/>
      </c>
      <c r="I41" s="19" t="str">
        <f aca="false">IF(B41="","",IF(COUNTIF(Campaigns!$A$5:$A$24,B41)=0,"ID not found","OK"))</f>
        <v/>
      </c>
    </row>
    <row r="42" customFormat="false" ht="15" hidden="false" customHeight="false" outlineLevel="0" collapsed="false">
      <c r="A42" s="15"/>
      <c r="B42" s="16"/>
      <c r="C42" s="16"/>
      <c r="D42" s="16"/>
      <c r="E42" s="16"/>
      <c r="F42" s="16"/>
      <c r="G42" s="16"/>
      <c r="H42" s="19" t="str">
        <f aca="false">IF(OR(B42="",G42="Live",G42="Done"),"",IF(A42&lt;Settings!$B$5,"Overdue",""))</f>
        <v/>
      </c>
      <c r="I42" s="19" t="str">
        <f aca="false">IF(B42="","",IF(COUNTIF(Campaigns!$A$5:$A$24,B42)=0,"ID not found","OK"))</f>
        <v/>
      </c>
    </row>
    <row r="43" customFormat="false" ht="15" hidden="false" customHeight="false" outlineLevel="0" collapsed="false">
      <c r="A43" s="15"/>
      <c r="B43" s="16"/>
      <c r="C43" s="16"/>
      <c r="D43" s="16"/>
      <c r="E43" s="16"/>
      <c r="F43" s="16"/>
      <c r="G43" s="16"/>
      <c r="H43" s="19" t="str">
        <f aca="false">IF(OR(B43="",G43="Live",G43="Done"),"",IF(A43&lt;Settings!$B$5,"Overdue",""))</f>
        <v/>
      </c>
      <c r="I43" s="19" t="str">
        <f aca="false">IF(B43="","",IF(COUNTIF(Campaigns!$A$5:$A$24,B43)=0,"ID not found","OK"))</f>
        <v/>
      </c>
    </row>
    <row r="44" customFormat="false" ht="15" hidden="false" customHeight="false" outlineLevel="0" collapsed="false">
      <c r="A44" s="15"/>
      <c r="B44" s="16"/>
      <c r="C44" s="16"/>
      <c r="D44" s="16"/>
      <c r="E44" s="16"/>
      <c r="F44" s="16"/>
      <c r="G44" s="16"/>
      <c r="H44" s="19" t="str">
        <f aca="false">IF(OR(B44="",G44="Live",G44="Done"),"",IF(A44&lt;Settings!$B$5,"Overdue",""))</f>
        <v/>
      </c>
      <c r="I44" s="19" t="str">
        <f aca="false">IF(B44="","",IF(COUNTIF(Campaigns!$A$5:$A$24,B44)=0,"ID not found","OK"))</f>
        <v/>
      </c>
    </row>
    <row r="45" customFormat="false" ht="15" hidden="false" customHeight="false" outlineLevel="0" collapsed="false">
      <c r="A45" s="15"/>
      <c r="B45" s="16"/>
      <c r="C45" s="16"/>
      <c r="D45" s="16"/>
      <c r="E45" s="16"/>
      <c r="F45" s="16"/>
      <c r="G45" s="16"/>
      <c r="H45" s="19" t="str">
        <f aca="false">IF(OR(B45="",G45="Live",G45="Done"),"",IF(A45&lt;Settings!$B$5,"Overdue",""))</f>
        <v/>
      </c>
      <c r="I45" s="19" t="str">
        <f aca="false">IF(B45="","",IF(COUNTIF(Campaigns!$A$5:$A$24,B45)=0,"ID not found","OK"))</f>
        <v/>
      </c>
    </row>
    <row r="46" customFormat="false" ht="15" hidden="false" customHeight="false" outlineLevel="0" collapsed="false">
      <c r="A46" s="15"/>
      <c r="B46" s="16"/>
      <c r="C46" s="16"/>
      <c r="D46" s="16"/>
      <c r="E46" s="16"/>
      <c r="F46" s="16"/>
      <c r="G46" s="16"/>
      <c r="H46" s="19" t="str">
        <f aca="false">IF(OR(B46="",G46="Live",G46="Done"),"",IF(A46&lt;Settings!$B$5,"Overdue",""))</f>
        <v/>
      </c>
      <c r="I46" s="19" t="str">
        <f aca="false">IF(B46="","",IF(COUNTIF(Campaigns!$A$5:$A$24,B46)=0,"ID not found","OK"))</f>
        <v/>
      </c>
    </row>
    <row r="47" customFormat="false" ht="15" hidden="false" customHeight="false" outlineLevel="0" collapsed="false">
      <c r="A47" s="15"/>
      <c r="B47" s="16"/>
      <c r="C47" s="16"/>
      <c r="D47" s="16"/>
      <c r="E47" s="16"/>
      <c r="F47" s="16"/>
      <c r="G47" s="16"/>
      <c r="H47" s="19" t="str">
        <f aca="false">IF(OR(B47="",G47="Live",G47="Done"),"",IF(A47&lt;Settings!$B$5,"Overdue",""))</f>
        <v/>
      </c>
      <c r="I47" s="19" t="str">
        <f aca="false">IF(B47="","",IF(COUNTIF(Campaigns!$A$5:$A$24,B47)=0,"ID not found","OK"))</f>
        <v/>
      </c>
    </row>
    <row r="48" customFormat="false" ht="15" hidden="false" customHeight="false" outlineLevel="0" collapsed="false">
      <c r="A48" s="15"/>
      <c r="B48" s="16"/>
      <c r="C48" s="16"/>
      <c r="D48" s="16"/>
      <c r="E48" s="16"/>
      <c r="F48" s="16"/>
      <c r="G48" s="16"/>
      <c r="H48" s="19" t="str">
        <f aca="false">IF(OR(B48="",G48="Live",G48="Done"),"",IF(A48&lt;Settings!$B$5,"Overdue",""))</f>
        <v/>
      </c>
      <c r="I48" s="19" t="str">
        <f aca="false">IF(B48="","",IF(COUNTIF(Campaigns!$A$5:$A$24,B48)=0,"ID not found","OK"))</f>
        <v/>
      </c>
    </row>
    <row r="49" customFormat="false" ht="15" hidden="false" customHeight="false" outlineLevel="0" collapsed="false">
      <c r="A49" s="15"/>
      <c r="B49" s="16"/>
      <c r="C49" s="16"/>
      <c r="D49" s="16"/>
      <c r="E49" s="16"/>
      <c r="F49" s="16"/>
      <c r="G49" s="16"/>
      <c r="H49" s="19" t="str">
        <f aca="false">IF(OR(B49="",G49="Live",G49="Done"),"",IF(A49&lt;Settings!$B$5,"Overdue",""))</f>
        <v/>
      </c>
      <c r="I49" s="19" t="str">
        <f aca="false">IF(B49="","",IF(COUNTIF(Campaigns!$A$5:$A$24,B49)=0,"ID not found","OK"))</f>
        <v/>
      </c>
    </row>
    <row r="50" customFormat="false" ht="15" hidden="false" customHeight="false" outlineLevel="0" collapsed="false">
      <c r="A50" s="15"/>
      <c r="B50" s="16"/>
      <c r="C50" s="16"/>
      <c r="D50" s="16"/>
      <c r="E50" s="16"/>
      <c r="F50" s="16"/>
      <c r="G50" s="16"/>
      <c r="H50" s="19" t="str">
        <f aca="false">IF(OR(B50="",G50="Live",G50="Done"),"",IF(A50&lt;Settings!$B$5,"Overdue",""))</f>
        <v/>
      </c>
      <c r="I50" s="19" t="str">
        <f aca="false">IF(B50="","",IF(COUNTIF(Campaigns!$A$5:$A$24,B50)=0,"ID not found","OK"))</f>
        <v/>
      </c>
    </row>
    <row r="51" customFormat="false" ht="15" hidden="false" customHeight="false" outlineLevel="0" collapsed="false">
      <c r="A51" s="15"/>
      <c r="B51" s="16"/>
      <c r="C51" s="16"/>
      <c r="D51" s="16"/>
      <c r="E51" s="16"/>
      <c r="F51" s="16"/>
      <c r="G51" s="16"/>
      <c r="H51" s="19" t="str">
        <f aca="false">IF(OR(B51="",G51="Live",G51="Done"),"",IF(A51&lt;Settings!$B$5,"Overdue",""))</f>
        <v/>
      </c>
      <c r="I51" s="19" t="str">
        <f aca="false">IF(B51="","",IF(COUNTIF(Campaigns!$A$5:$A$24,B51)=0,"ID not found","OK"))</f>
        <v/>
      </c>
    </row>
    <row r="52" customFormat="false" ht="15" hidden="false" customHeight="false" outlineLevel="0" collapsed="false">
      <c r="A52" s="15"/>
      <c r="B52" s="16"/>
      <c r="C52" s="16"/>
      <c r="D52" s="16"/>
      <c r="E52" s="16"/>
      <c r="F52" s="16"/>
      <c r="G52" s="16"/>
      <c r="H52" s="19" t="str">
        <f aca="false">IF(OR(B52="",G52="Live",G52="Done"),"",IF(A52&lt;Settings!$B$5,"Overdue",""))</f>
        <v/>
      </c>
      <c r="I52" s="19" t="str">
        <f aca="false">IF(B52="","",IF(COUNTIF(Campaigns!$A$5:$A$24,B52)=0,"ID not found","OK"))</f>
        <v/>
      </c>
    </row>
    <row r="53" customFormat="false" ht="15" hidden="false" customHeight="false" outlineLevel="0" collapsed="false">
      <c r="A53" s="15"/>
      <c r="B53" s="16"/>
      <c r="C53" s="16"/>
      <c r="D53" s="16"/>
      <c r="E53" s="16"/>
      <c r="F53" s="16"/>
      <c r="G53" s="16"/>
      <c r="H53" s="19" t="str">
        <f aca="false">IF(OR(B53="",G53="Live",G53="Done"),"",IF(A53&lt;Settings!$B$5,"Overdue",""))</f>
        <v/>
      </c>
      <c r="I53" s="19" t="str">
        <f aca="false">IF(B53="","",IF(COUNTIF(Campaigns!$A$5:$A$24,B53)=0,"ID not found","OK"))</f>
        <v/>
      </c>
    </row>
    <row r="54" customFormat="false" ht="15" hidden="false" customHeight="false" outlineLevel="0" collapsed="false">
      <c r="A54" s="15"/>
      <c r="B54" s="16"/>
      <c r="C54" s="16"/>
      <c r="D54" s="16"/>
      <c r="E54" s="16"/>
      <c r="F54" s="16"/>
      <c r="G54" s="16"/>
      <c r="H54" s="19" t="str">
        <f aca="false">IF(OR(B54="",G54="Live",G54="Done"),"",IF(A54&lt;Settings!$B$5,"Overdue",""))</f>
        <v/>
      </c>
      <c r="I54" s="19" t="str">
        <f aca="false">IF(B54="","",IF(COUNTIF(Campaigns!$A$5:$A$24,B54)=0,"ID not found","OK"))</f>
        <v/>
      </c>
    </row>
    <row r="55" customFormat="false" ht="15" hidden="false" customHeight="false" outlineLevel="0" collapsed="false">
      <c r="A55" s="15"/>
      <c r="B55" s="16"/>
      <c r="C55" s="16"/>
      <c r="D55" s="16"/>
      <c r="E55" s="16"/>
      <c r="F55" s="16"/>
      <c r="G55" s="16"/>
      <c r="H55" s="19" t="str">
        <f aca="false">IF(OR(B55="",G55="Live",G55="Done"),"",IF(A55&lt;Settings!$B$5,"Overdue",""))</f>
        <v/>
      </c>
      <c r="I55" s="19" t="str">
        <f aca="false">IF(B55="","",IF(COUNTIF(Campaigns!$A$5:$A$24,B55)=0,"ID not found","OK"))</f>
        <v/>
      </c>
    </row>
    <row r="56" customFormat="false" ht="15" hidden="false" customHeight="false" outlineLevel="0" collapsed="false">
      <c r="A56" s="15"/>
      <c r="B56" s="16"/>
      <c r="C56" s="16"/>
      <c r="D56" s="16"/>
      <c r="E56" s="16"/>
      <c r="F56" s="16"/>
      <c r="G56" s="16"/>
      <c r="H56" s="19" t="str">
        <f aca="false">IF(OR(B56="",G56="Live",G56="Done"),"",IF(A56&lt;Settings!$B$5,"Overdue",""))</f>
        <v/>
      </c>
      <c r="I56" s="19" t="str">
        <f aca="false">IF(B56="","",IF(COUNTIF(Campaigns!$A$5:$A$24,B56)=0,"ID not found","OK"))</f>
        <v/>
      </c>
    </row>
    <row r="57" customFormat="false" ht="15" hidden="false" customHeight="false" outlineLevel="0" collapsed="false">
      <c r="A57" s="15"/>
      <c r="B57" s="16"/>
      <c r="C57" s="16"/>
      <c r="D57" s="16"/>
      <c r="E57" s="16"/>
      <c r="F57" s="16"/>
      <c r="G57" s="16"/>
      <c r="H57" s="19" t="str">
        <f aca="false">IF(OR(B57="",G57="Live",G57="Done"),"",IF(A57&lt;Settings!$B$5,"Overdue",""))</f>
        <v/>
      </c>
      <c r="I57" s="19" t="str">
        <f aca="false">IF(B57="","",IF(COUNTIF(Campaigns!$A$5:$A$24,B57)=0,"ID not found","OK"))</f>
        <v/>
      </c>
    </row>
    <row r="58" customFormat="false" ht="15" hidden="false" customHeight="false" outlineLevel="0" collapsed="false">
      <c r="A58" s="15"/>
      <c r="B58" s="16"/>
      <c r="C58" s="16"/>
      <c r="D58" s="16"/>
      <c r="E58" s="16"/>
      <c r="F58" s="16"/>
      <c r="G58" s="16"/>
      <c r="H58" s="19" t="str">
        <f aca="false">IF(OR(B58="",G58="Live",G58="Done"),"",IF(A58&lt;Settings!$B$5,"Overdue",""))</f>
        <v/>
      </c>
      <c r="I58" s="19" t="str">
        <f aca="false">IF(B58="","",IF(COUNTIF(Campaigns!$A$5:$A$24,B58)=0,"ID not found","OK"))</f>
        <v/>
      </c>
    </row>
    <row r="59" customFormat="false" ht="15" hidden="false" customHeight="false" outlineLevel="0" collapsed="false">
      <c r="A59" s="15"/>
      <c r="B59" s="16"/>
      <c r="C59" s="16"/>
      <c r="D59" s="16"/>
      <c r="E59" s="16"/>
      <c r="F59" s="16"/>
      <c r="G59" s="16"/>
      <c r="H59" s="19" t="str">
        <f aca="false">IF(OR(B59="",G59="Live",G59="Done"),"",IF(A59&lt;Settings!$B$5,"Overdue",""))</f>
        <v/>
      </c>
      <c r="I59" s="19" t="str">
        <f aca="false">IF(B59="","",IF(COUNTIF(Campaigns!$A$5:$A$24,B59)=0,"ID not found","OK"))</f>
        <v/>
      </c>
    </row>
    <row r="60" customFormat="false" ht="15" hidden="false" customHeight="false" outlineLevel="0" collapsed="false">
      <c r="A60" s="15"/>
      <c r="B60" s="16"/>
      <c r="C60" s="16"/>
      <c r="D60" s="16"/>
      <c r="E60" s="16"/>
      <c r="F60" s="16"/>
      <c r="G60" s="16"/>
      <c r="H60" s="19" t="str">
        <f aca="false">IF(OR(B60="",G60="Live",G60="Done"),"",IF(A60&lt;Settings!$B$5,"Overdue",""))</f>
        <v/>
      </c>
      <c r="I60" s="19" t="str">
        <f aca="false">IF(B60="","",IF(COUNTIF(Campaigns!$A$5:$A$24,B60)=0,"ID not found","OK"))</f>
        <v/>
      </c>
    </row>
    <row r="61" customFormat="false" ht="15" hidden="false" customHeight="false" outlineLevel="0" collapsed="false">
      <c r="A61" s="15"/>
      <c r="B61" s="16"/>
      <c r="C61" s="16"/>
      <c r="D61" s="16"/>
      <c r="E61" s="16"/>
      <c r="F61" s="16"/>
      <c r="G61" s="16"/>
      <c r="H61" s="19" t="str">
        <f aca="false">IF(OR(B61="",G61="Live",G61="Done"),"",IF(A61&lt;Settings!$B$5,"Overdue",""))</f>
        <v/>
      </c>
      <c r="I61" s="19" t="str">
        <f aca="false">IF(B61="","",IF(COUNTIF(Campaigns!$A$5:$A$24,B61)=0,"ID not found","OK"))</f>
        <v/>
      </c>
    </row>
    <row r="62" customFormat="false" ht="15" hidden="false" customHeight="false" outlineLevel="0" collapsed="false">
      <c r="A62" s="15"/>
      <c r="B62" s="16"/>
      <c r="C62" s="16"/>
      <c r="D62" s="16"/>
      <c r="E62" s="16"/>
      <c r="F62" s="16"/>
      <c r="G62" s="16"/>
      <c r="H62" s="19" t="str">
        <f aca="false">IF(OR(B62="",G62="Live",G62="Done"),"",IF(A62&lt;Settings!$B$5,"Overdue",""))</f>
        <v/>
      </c>
      <c r="I62" s="19" t="str">
        <f aca="false">IF(B62="","",IF(COUNTIF(Campaigns!$A$5:$A$24,B62)=0,"ID not found","OK"))</f>
        <v/>
      </c>
    </row>
    <row r="63" customFormat="false" ht="15" hidden="false" customHeight="false" outlineLevel="0" collapsed="false">
      <c r="A63" s="15"/>
      <c r="B63" s="16"/>
      <c r="C63" s="16"/>
      <c r="D63" s="16"/>
      <c r="E63" s="16"/>
      <c r="F63" s="16"/>
      <c r="G63" s="16"/>
      <c r="H63" s="19" t="str">
        <f aca="false">IF(OR(B63="",G63="Live",G63="Done"),"",IF(A63&lt;Settings!$B$5,"Overdue",""))</f>
        <v/>
      </c>
      <c r="I63" s="19" t="str">
        <f aca="false">IF(B63="","",IF(COUNTIF(Campaigns!$A$5:$A$24,B63)=0,"ID not found","OK"))</f>
        <v/>
      </c>
    </row>
    <row r="64" customFormat="false" ht="15" hidden="false" customHeight="false" outlineLevel="0" collapsed="false">
      <c r="A64" s="15"/>
      <c r="B64" s="16"/>
      <c r="C64" s="16"/>
      <c r="D64" s="16"/>
      <c r="E64" s="16"/>
      <c r="F64" s="16"/>
      <c r="G64" s="16"/>
      <c r="H64" s="19" t="str">
        <f aca="false">IF(OR(B64="",G64="Live",G64="Done"),"",IF(A64&lt;Settings!$B$5,"Overdue",""))</f>
        <v/>
      </c>
      <c r="I64" s="19" t="str">
        <f aca="false">IF(B64="","",IF(COUNTIF(Campaigns!$A$5:$A$24,B64)=0,"ID not found","OK"))</f>
        <v/>
      </c>
    </row>
    <row r="65" customFormat="false" ht="15" hidden="false" customHeight="false" outlineLevel="0" collapsed="false">
      <c r="A65" s="15"/>
      <c r="B65" s="16"/>
      <c r="C65" s="16"/>
      <c r="D65" s="16"/>
      <c r="E65" s="16"/>
      <c r="F65" s="16"/>
      <c r="G65" s="16"/>
      <c r="H65" s="19" t="str">
        <f aca="false">IF(OR(B65="",G65="Live",G65="Done"),"",IF(A65&lt;Settings!$B$5,"Overdue",""))</f>
        <v/>
      </c>
      <c r="I65" s="19" t="str">
        <f aca="false">IF(B65="","",IF(COUNTIF(Campaigns!$A$5:$A$24,B65)=0,"ID not found","OK"))</f>
        <v/>
      </c>
    </row>
    <row r="66" customFormat="false" ht="15" hidden="false" customHeight="false" outlineLevel="0" collapsed="false">
      <c r="A66" s="15"/>
      <c r="B66" s="16"/>
      <c r="C66" s="16"/>
      <c r="D66" s="16"/>
      <c r="E66" s="16"/>
      <c r="F66" s="16"/>
      <c r="G66" s="16"/>
      <c r="H66" s="19" t="str">
        <f aca="false">IF(OR(B66="",G66="Live",G66="Done"),"",IF(A66&lt;Settings!$B$5,"Overdue",""))</f>
        <v/>
      </c>
      <c r="I66" s="19" t="str">
        <f aca="false">IF(B66="","",IF(COUNTIF(Campaigns!$A$5:$A$24,B66)=0,"ID not found","OK"))</f>
        <v/>
      </c>
    </row>
    <row r="67" customFormat="false" ht="15" hidden="false" customHeight="false" outlineLevel="0" collapsed="false">
      <c r="A67" s="15"/>
      <c r="B67" s="16"/>
      <c r="C67" s="16"/>
      <c r="D67" s="16"/>
      <c r="E67" s="16"/>
      <c r="F67" s="16"/>
      <c r="G67" s="16"/>
      <c r="H67" s="19" t="str">
        <f aca="false">IF(OR(B67="",G67="Live",G67="Done"),"",IF(A67&lt;Settings!$B$5,"Overdue",""))</f>
        <v/>
      </c>
      <c r="I67" s="19" t="str">
        <f aca="false">IF(B67="","",IF(COUNTIF(Campaigns!$A$5:$A$24,B67)=0,"ID not found","OK"))</f>
        <v/>
      </c>
    </row>
    <row r="68" customFormat="false" ht="15" hidden="false" customHeight="false" outlineLevel="0" collapsed="false">
      <c r="A68" s="15"/>
      <c r="B68" s="16"/>
      <c r="C68" s="16"/>
      <c r="D68" s="16"/>
      <c r="E68" s="16"/>
      <c r="F68" s="16"/>
      <c r="G68" s="16"/>
      <c r="H68" s="19" t="str">
        <f aca="false">IF(OR(B68="",G68="Live",G68="Done"),"",IF(A68&lt;Settings!$B$5,"Overdue",""))</f>
        <v/>
      </c>
      <c r="I68" s="19" t="str">
        <f aca="false">IF(B68="","",IF(COUNTIF(Campaigns!$A$5:$A$24,B68)=0,"ID not found","OK"))</f>
        <v/>
      </c>
    </row>
    <row r="69" customFormat="false" ht="15" hidden="false" customHeight="false" outlineLevel="0" collapsed="false">
      <c r="A69" s="15"/>
      <c r="B69" s="16"/>
      <c r="C69" s="16"/>
      <c r="D69" s="16"/>
      <c r="E69" s="16"/>
      <c r="F69" s="16"/>
      <c r="G69" s="16"/>
      <c r="H69" s="19" t="str">
        <f aca="false">IF(OR(B69="",G69="Live",G69="Done"),"",IF(A69&lt;Settings!$B$5,"Overdue",""))</f>
        <v/>
      </c>
      <c r="I69" s="19" t="str">
        <f aca="false">IF(B69="","",IF(COUNTIF(Campaigns!$A$5:$A$24,B69)=0,"ID not found","OK"))</f>
        <v/>
      </c>
    </row>
    <row r="70" customFormat="false" ht="15" hidden="false" customHeight="false" outlineLevel="0" collapsed="false">
      <c r="A70" s="15"/>
      <c r="B70" s="16"/>
      <c r="C70" s="16"/>
      <c r="D70" s="16"/>
      <c r="E70" s="16"/>
      <c r="F70" s="16"/>
      <c r="G70" s="16"/>
      <c r="H70" s="19" t="str">
        <f aca="false">IF(OR(B70="",G70="Live",G70="Done"),"",IF(A70&lt;Settings!$B$5,"Overdue",""))</f>
        <v/>
      </c>
      <c r="I70" s="19" t="str">
        <f aca="false">IF(B70="","",IF(COUNTIF(Campaigns!$A$5:$A$24,B70)=0,"ID not found","OK"))</f>
        <v/>
      </c>
    </row>
    <row r="71" customFormat="false" ht="15" hidden="false" customHeight="false" outlineLevel="0" collapsed="false">
      <c r="A71" s="15"/>
      <c r="B71" s="16"/>
      <c r="C71" s="16"/>
      <c r="D71" s="16"/>
      <c r="E71" s="16"/>
      <c r="F71" s="16"/>
      <c r="G71" s="16"/>
      <c r="H71" s="19" t="str">
        <f aca="false">IF(OR(B71="",G71="Live",G71="Done"),"",IF(A71&lt;Settings!$B$5,"Overdue",""))</f>
        <v/>
      </c>
      <c r="I71" s="19" t="str">
        <f aca="false">IF(B71="","",IF(COUNTIF(Campaigns!$A$5:$A$24,B71)=0,"ID not found","OK"))</f>
        <v/>
      </c>
    </row>
    <row r="72" customFormat="false" ht="15" hidden="false" customHeight="false" outlineLevel="0" collapsed="false">
      <c r="A72" s="15"/>
      <c r="B72" s="16"/>
      <c r="C72" s="16"/>
      <c r="D72" s="16"/>
      <c r="E72" s="16"/>
      <c r="F72" s="16"/>
      <c r="G72" s="16"/>
      <c r="H72" s="19" t="str">
        <f aca="false">IF(OR(B72="",G72="Live",G72="Done"),"",IF(A72&lt;Settings!$B$5,"Overdue",""))</f>
        <v/>
      </c>
      <c r="I72" s="19" t="str">
        <f aca="false">IF(B72="","",IF(COUNTIF(Campaigns!$A$5:$A$24,B72)=0,"ID not found","OK"))</f>
        <v/>
      </c>
    </row>
    <row r="73" customFormat="false" ht="15" hidden="false" customHeight="false" outlineLevel="0" collapsed="false">
      <c r="A73" s="15"/>
      <c r="B73" s="16"/>
      <c r="C73" s="16"/>
      <c r="D73" s="16"/>
      <c r="E73" s="16"/>
      <c r="F73" s="16"/>
      <c r="G73" s="16"/>
      <c r="H73" s="19" t="str">
        <f aca="false">IF(OR(B73="",G73="Live",G73="Done"),"",IF(A73&lt;Settings!$B$5,"Overdue",""))</f>
        <v/>
      </c>
      <c r="I73" s="19" t="str">
        <f aca="false">IF(B73="","",IF(COUNTIF(Campaigns!$A$5:$A$24,B73)=0,"ID not found","OK"))</f>
        <v/>
      </c>
    </row>
    <row r="74" customFormat="false" ht="15" hidden="false" customHeight="false" outlineLevel="0" collapsed="false">
      <c r="A74" s="15"/>
      <c r="B74" s="16"/>
      <c r="C74" s="16"/>
      <c r="D74" s="16"/>
      <c r="E74" s="16"/>
      <c r="F74" s="16"/>
      <c r="G74" s="16"/>
      <c r="H74" s="19" t="str">
        <f aca="false">IF(OR(B74="",G74="Live",G74="Done"),"",IF(A74&lt;Settings!$B$5,"Overdue",""))</f>
        <v/>
      </c>
      <c r="I74" s="19" t="str">
        <f aca="false">IF(B74="","",IF(COUNTIF(Campaigns!$A$5:$A$24,B74)=0,"ID not found","OK"))</f>
        <v/>
      </c>
    </row>
    <row r="75" customFormat="false" ht="15" hidden="false" customHeight="false" outlineLevel="0" collapsed="false">
      <c r="A75" s="15"/>
      <c r="B75" s="16"/>
      <c r="C75" s="16"/>
      <c r="D75" s="16"/>
      <c r="E75" s="16"/>
      <c r="F75" s="16"/>
      <c r="G75" s="16"/>
      <c r="H75" s="19" t="str">
        <f aca="false">IF(OR(B75="",G75="Live",G75="Done"),"",IF(A75&lt;Settings!$B$5,"Overdue",""))</f>
        <v/>
      </c>
      <c r="I75" s="19" t="str">
        <f aca="false">IF(B75="","",IF(COUNTIF(Campaigns!$A$5:$A$24,B75)=0,"ID not found","OK"))</f>
        <v/>
      </c>
    </row>
    <row r="76" customFormat="false" ht="15" hidden="false" customHeight="false" outlineLevel="0" collapsed="false">
      <c r="A76" s="15"/>
      <c r="B76" s="16"/>
      <c r="C76" s="16"/>
      <c r="D76" s="16"/>
      <c r="E76" s="16"/>
      <c r="F76" s="16"/>
      <c r="G76" s="16"/>
      <c r="H76" s="19" t="str">
        <f aca="false">IF(OR(B76="",G76="Live",G76="Done"),"",IF(A76&lt;Settings!$B$5,"Overdue",""))</f>
        <v/>
      </c>
      <c r="I76" s="19" t="str">
        <f aca="false">IF(B76="","",IF(COUNTIF(Campaigns!$A$5:$A$24,B76)=0,"ID not found","OK"))</f>
        <v/>
      </c>
    </row>
    <row r="77" customFormat="false" ht="15" hidden="false" customHeight="false" outlineLevel="0" collapsed="false">
      <c r="A77" s="15"/>
      <c r="B77" s="16"/>
      <c r="C77" s="16"/>
      <c r="D77" s="16"/>
      <c r="E77" s="16"/>
      <c r="F77" s="16"/>
      <c r="G77" s="16"/>
      <c r="H77" s="19" t="str">
        <f aca="false">IF(OR(B77="",G77="Live",G77="Done"),"",IF(A77&lt;Settings!$B$5,"Overdue",""))</f>
        <v/>
      </c>
      <c r="I77" s="19" t="str">
        <f aca="false">IF(B77="","",IF(COUNTIF(Campaigns!$A$5:$A$24,B77)=0,"ID not found","OK"))</f>
        <v/>
      </c>
    </row>
    <row r="78" customFormat="false" ht="15" hidden="false" customHeight="false" outlineLevel="0" collapsed="false">
      <c r="A78" s="15"/>
      <c r="B78" s="16"/>
      <c r="C78" s="16"/>
      <c r="D78" s="16"/>
      <c r="E78" s="16"/>
      <c r="F78" s="16"/>
      <c r="G78" s="16"/>
      <c r="H78" s="19" t="str">
        <f aca="false">IF(OR(B78="",G78="Live",G78="Done"),"",IF(A78&lt;Settings!$B$5,"Overdue",""))</f>
        <v/>
      </c>
      <c r="I78" s="19" t="str">
        <f aca="false">IF(B78="","",IF(COUNTIF(Campaigns!$A$5:$A$24,B78)=0,"ID not found","OK"))</f>
        <v/>
      </c>
    </row>
    <row r="79" customFormat="false" ht="15" hidden="false" customHeight="false" outlineLevel="0" collapsed="false">
      <c r="A79" s="15"/>
      <c r="B79" s="16"/>
      <c r="C79" s="16"/>
      <c r="D79" s="16"/>
      <c r="E79" s="16"/>
      <c r="F79" s="16"/>
      <c r="G79" s="16"/>
      <c r="H79" s="19" t="str">
        <f aca="false">IF(OR(B79="",G79="Live",G79="Done"),"",IF(A79&lt;Settings!$B$5,"Overdue",""))</f>
        <v/>
      </c>
      <c r="I79" s="19" t="str">
        <f aca="false">IF(B79="","",IF(COUNTIF(Campaigns!$A$5:$A$24,B79)=0,"ID not found","OK"))</f>
        <v/>
      </c>
    </row>
    <row r="80" customFormat="false" ht="15" hidden="false" customHeight="false" outlineLevel="0" collapsed="false">
      <c r="A80" s="15"/>
      <c r="B80" s="16"/>
      <c r="C80" s="16"/>
      <c r="D80" s="16"/>
      <c r="E80" s="16"/>
      <c r="F80" s="16"/>
      <c r="G80" s="16"/>
      <c r="H80" s="19" t="str">
        <f aca="false">IF(OR(B80="",G80="Live",G80="Done"),"",IF(A80&lt;Settings!$B$5,"Overdue",""))</f>
        <v/>
      </c>
      <c r="I80" s="19" t="str">
        <f aca="false">IF(B80="","",IF(COUNTIF(Campaigns!$A$5:$A$24,B80)=0,"ID not found","OK"))</f>
        <v/>
      </c>
    </row>
    <row r="81" customFormat="false" ht="15" hidden="false" customHeight="false" outlineLevel="0" collapsed="false">
      <c r="A81" s="15"/>
      <c r="B81" s="16"/>
      <c r="C81" s="16"/>
      <c r="D81" s="16"/>
      <c r="E81" s="16"/>
      <c r="F81" s="16"/>
      <c r="G81" s="16"/>
      <c r="H81" s="19" t="str">
        <f aca="false">IF(OR(B81="",G81="Live",G81="Done"),"",IF(A81&lt;Settings!$B$5,"Overdue",""))</f>
        <v/>
      </c>
      <c r="I81" s="19" t="str">
        <f aca="false">IF(B81="","",IF(COUNTIF(Campaigns!$A$5:$A$24,B81)=0,"ID not found","OK"))</f>
        <v/>
      </c>
    </row>
    <row r="82" customFormat="false" ht="15" hidden="false" customHeight="false" outlineLevel="0" collapsed="false">
      <c r="A82" s="15"/>
      <c r="B82" s="16"/>
      <c r="C82" s="16"/>
      <c r="D82" s="16"/>
      <c r="E82" s="16"/>
      <c r="F82" s="16"/>
      <c r="G82" s="16"/>
      <c r="H82" s="19" t="str">
        <f aca="false">IF(OR(B82="",G82="Live",G82="Done"),"",IF(A82&lt;Settings!$B$5,"Overdue",""))</f>
        <v/>
      </c>
      <c r="I82" s="19" t="str">
        <f aca="false">IF(B82="","",IF(COUNTIF(Campaigns!$A$5:$A$24,B82)=0,"ID not found","OK"))</f>
        <v/>
      </c>
    </row>
    <row r="83" customFormat="false" ht="15" hidden="false" customHeight="false" outlineLevel="0" collapsed="false">
      <c r="A83" s="15"/>
      <c r="B83" s="16"/>
      <c r="C83" s="16"/>
      <c r="D83" s="16"/>
      <c r="E83" s="16"/>
      <c r="F83" s="16"/>
      <c r="G83" s="16"/>
      <c r="H83" s="19" t="str">
        <f aca="false">IF(OR(B83="",G83="Live",G83="Done"),"",IF(A83&lt;Settings!$B$5,"Overdue",""))</f>
        <v/>
      </c>
      <c r="I83" s="19" t="str">
        <f aca="false">IF(B83="","",IF(COUNTIF(Campaigns!$A$5:$A$24,B83)=0,"ID not found","OK"))</f>
        <v/>
      </c>
    </row>
    <row r="84" customFormat="false" ht="15" hidden="false" customHeight="false" outlineLevel="0" collapsed="false">
      <c r="A84" s="15"/>
      <c r="B84" s="16"/>
      <c r="C84" s="16"/>
      <c r="D84" s="16"/>
      <c r="E84" s="16"/>
      <c r="F84" s="16"/>
      <c r="G84" s="16"/>
      <c r="H84" s="19" t="str">
        <f aca="false">IF(OR(B84="",G84="Live",G84="Done"),"",IF(A84&lt;Settings!$B$5,"Overdue",""))</f>
        <v/>
      </c>
      <c r="I84" s="19" t="str">
        <f aca="false">IF(B84="","",IF(COUNTIF(Campaigns!$A$5:$A$24,B84)=0,"ID not found","OK"))</f>
        <v/>
      </c>
    </row>
    <row r="85" customFormat="false" ht="15" hidden="false" customHeight="false" outlineLevel="0" collapsed="false">
      <c r="A85" s="15"/>
      <c r="B85" s="16"/>
      <c r="C85" s="16"/>
      <c r="D85" s="16"/>
      <c r="E85" s="16"/>
      <c r="F85" s="16"/>
      <c r="G85" s="16"/>
      <c r="H85" s="19" t="str">
        <f aca="false">IF(OR(B85="",G85="Live",G85="Done"),"",IF(A85&lt;Settings!$B$5,"Overdue",""))</f>
        <v/>
      </c>
      <c r="I85" s="19" t="str">
        <f aca="false">IF(B85="","",IF(COUNTIF(Campaigns!$A$5:$A$24,B85)=0,"ID not found","OK"))</f>
        <v/>
      </c>
    </row>
    <row r="86" customFormat="false" ht="15" hidden="false" customHeight="false" outlineLevel="0" collapsed="false">
      <c r="A86" s="15"/>
      <c r="B86" s="16"/>
      <c r="C86" s="16"/>
      <c r="D86" s="16"/>
      <c r="E86" s="16"/>
      <c r="F86" s="16"/>
      <c r="G86" s="16"/>
      <c r="H86" s="19" t="str">
        <f aca="false">IF(OR(B86="",G86="Live",G86="Done"),"",IF(A86&lt;Settings!$B$5,"Overdue",""))</f>
        <v/>
      </c>
      <c r="I86" s="19" t="str">
        <f aca="false">IF(B86="","",IF(COUNTIF(Campaigns!$A$5:$A$24,B86)=0,"ID not found","OK"))</f>
        <v/>
      </c>
    </row>
    <row r="87" customFormat="false" ht="15" hidden="false" customHeight="false" outlineLevel="0" collapsed="false">
      <c r="A87" s="15"/>
      <c r="B87" s="16"/>
      <c r="C87" s="16"/>
      <c r="D87" s="16"/>
      <c r="E87" s="16"/>
      <c r="F87" s="16"/>
      <c r="G87" s="16"/>
      <c r="H87" s="19" t="str">
        <f aca="false">IF(OR(B87="",G87="Live",G87="Done"),"",IF(A87&lt;Settings!$B$5,"Overdue",""))</f>
        <v/>
      </c>
      <c r="I87" s="19" t="str">
        <f aca="false">IF(B87="","",IF(COUNTIF(Campaigns!$A$5:$A$24,B87)=0,"ID not found","OK"))</f>
        <v/>
      </c>
    </row>
    <row r="88" customFormat="false" ht="15" hidden="false" customHeight="false" outlineLevel="0" collapsed="false">
      <c r="A88" s="15"/>
      <c r="B88" s="16"/>
      <c r="C88" s="16"/>
      <c r="D88" s="16"/>
      <c r="E88" s="16"/>
      <c r="F88" s="16"/>
      <c r="G88" s="16"/>
      <c r="H88" s="19" t="str">
        <f aca="false">IF(OR(B88="",G88="Live",G88="Done"),"",IF(A88&lt;Settings!$B$5,"Overdue",""))</f>
        <v/>
      </c>
      <c r="I88" s="19" t="str">
        <f aca="false">IF(B88="","",IF(COUNTIF(Campaigns!$A$5:$A$24,B88)=0,"ID not found","OK"))</f>
        <v/>
      </c>
    </row>
    <row r="89" customFormat="false" ht="15" hidden="false" customHeight="false" outlineLevel="0" collapsed="false">
      <c r="A89" s="15"/>
      <c r="B89" s="16"/>
      <c r="C89" s="16"/>
      <c r="D89" s="16"/>
      <c r="E89" s="16"/>
      <c r="F89" s="16"/>
      <c r="G89" s="16"/>
      <c r="H89" s="19" t="str">
        <f aca="false">IF(OR(B89="",G89="Live",G89="Done"),"",IF(A89&lt;Settings!$B$5,"Overdue",""))</f>
        <v/>
      </c>
      <c r="I89" s="19" t="str">
        <f aca="false">IF(B89="","",IF(COUNTIF(Campaigns!$A$5:$A$24,B89)=0,"ID not found","OK"))</f>
        <v/>
      </c>
    </row>
    <row r="90" customFormat="false" ht="15" hidden="false" customHeight="false" outlineLevel="0" collapsed="false">
      <c r="A90" s="15"/>
      <c r="B90" s="16"/>
      <c r="C90" s="16"/>
      <c r="D90" s="16"/>
      <c r="E90" s="16"/>
      <c r="F90" s="16"/>
      <c r="G90" s="16"/>
      <c r="H90" s="19" t="str">
        <f aca="false">IF(OR(B90="",G90="Live",G90="Done"),"",IF(A90&lt;Settings!$B$5,"Overdue",""))</f>
        <v/>
      </c>
      <c r="I90" s="19" t="str">
        <f aca="false">IF(B90="","",IF(COUNTIF(Campaigns!$A$5:$A$24,B90)=0,"ID not found","OK"))</f>
        <v/>
      </c>
    </row>
    <row r="91" customFormat="false" ht="15" hidden="false" customHeight="false" outlineLevel="0" collapsed="false">
      <c r="A91" s="15"/>
      <c r="B91" s="16"/>
      <c r="C91" s="16"/>
      <c r="D91" s="16"/>
      <c r="E91" s="16"/>
      <c r="F91" s="16"/>
      <c r="G91" s="16"/>
      <c r="H91" s="19" t="str">
        <f aca="false">IF(OR(B91="",G91="Live",G91="Done"),"",IF(A91&lt;Settings!$B$5,"Overdue",""))</f>
        <v/>
      </c>
      <c r="I91" s="19" t="str">
        <f aca="false">IF(B91="","",IF(COUNTIF(Campaigns!$A$5:$A$24,B91)=0,"ID not found","OK"))</f>
        <v/>
      </c>
    </row>
    <row r="92" customFormat="false" ht="15" hidden="false" customHeight="false" outlineLevel="0" collapsed="false">
      <c r="A92" s="15"/>
      <c r="B92" s="16"/>
      <c r="C92" s="16"/>
      <c r="D92" s="16"/>
      <c r="E92" s="16"/>
      <c r="F92" s="16"/>
      <c r="G92" s="16"/>
      <c r="H92" s="19" t="str">
        <f aca="false">IF(OR(B92="",G92="Live",G92="Done"),"",IF(A92&lt;Settings!$B$5,"Overdue",""))</f>
        <v/>
      </c>
      <c r="I92" s="19" t="str">
        <f aca="false">IF(B92="","",IF(COUNTIF(Campaigns!$A$5:$A$24,B92)=0,"ID not found","OK"))</f>
        <v/>
      </c>
    </row>
    <row r="93" customFormat="false" ht="15" hidden="false" customHeight="false" outlineLevel="0" collapsed="false">
      <c r="A93" s="15"/>
      <c r="B93" s="16"/>
      <c r="C93" s="16"/>
      <c r="D93" s="16"/>
      <c r="E93" s="16"/>
      <c r="F93" s="16"/>
      <c r="G93" s="16"/>
      <c r="H93" s="19" t="str">
        <f aca="false">IF(OR(B93="",G93="Live",G93="Done"),"",IF(A93&lt;Settings!$B$5,"Overdue",""))</f>
        <v/>
      </c>
      <c r="I93" s="19" t="str">
        <f aca="false">IF(B93="","",IF(COUNTIF(Campaigns!$A$5:$A$24,B93)=0,"ID not found","OK"))</f>
        <v/>
      </c>
    </row>
    <row r="94" customFormat="false" ht="15" hidden="false" customHeight="false" outlineLevel="0" collapsed="false">
      <c r="A94" s="15"/>
      <c r="B94" s="16"/>
      <c r="C94" s="16"/>
      <c r="D94" s="16"/>
      <c r="E94" s="16"/>
      <c r="F94" s="16"/>
      <c r="G94" s="16"/>
      <c r="H94" s="19" t="str">
        <f aca="false">IF(OR(B94="",G94="Live",G94="Done"),"",IF(A94&lt;Settings!$B$5,"Overdue",""))</f>
        <v/>
      </c>
      <c r="I94" s="19" t="str">
        <f aca="false">IF(B94="","",IF(COUNTIF(Campaigns!$A$5:$A$24,B94)=0,"ID not found","OK"))</f>
        <v/>
      </c>
    </row>
    <row r="95" customFormat="false" ht="15" hidden="false" customHeight="false" outlineLevel="0" collapsed="false">
      <c r="A95" s="15"/>
      <c r="B95" s="16"/>
      <c r="C95" s="16"/>
      <c r="D95" s="16"/>
      <c r="E95" s="16"/>
      <c r="F95" s="16"/>
      <c r="G95" s="16"/>
      <c r="H95" s="19" t="str">
        <f aca="false">IF(OR(B95="",G95="Live",G95="Done"),"",IF(A95&lt;Settings!$B$5,"Overdue",""))</f>
        <v/>
      </c>
      <c r="I95" s="19" t="str">
        <f aca="false">IF(B95="","",IF(COUNTIF(Campaigns!$A$5:$A$24,B95)=0,"ID not found","OK"))</f>
        <v/>
      </c>
    </row>
    <row r="96" customFormat="false" ht="15" hidden="false" customHeight="false" outlineLevel="0" collapsed="false">
      <c r="A96" s="15"/>
      <c r="B96" s="16"/>
      <c r="C96" s="16"/>
      <c r="D96" s="16"/>
      <c r="E96" s="16"/>
      <c r="F96" s="16"/>
      <c r="G96" s="16"/>
      <c r="H96" s="19" t="str">
        <f aca="false">IF(OR(B96="",G96="Live",G96="Done"),"",IF(A96&lt;Settings!$B$5,"Overdue",""))</f>
        <v/>
      </c>
      <c r="I96" s="19" t="str">
        <f aca="false">IF(B96="","",IF(COUNTIF(Campaigns!$A$5:$A$24,B96)=0,"ID not found","OK"))</f>
        <v/>
      </c>
    </row>
    <row r="97" customFormat="false" ht="15" hidden="false" customHeight="false" outlineLevel="0" collapsed="false">
      <c r="A97" s="15"/>
      <c r="B97" s="16"/>
      <c r="C97" s="16"/>
      <c r="D97" s="16"/>
      <c r="E97" s="16"/>
      <c r="F97" s="16"/>
      <c r="G97" s="16"/>
      <c r="H97" s="19" t="str">
        <f aca="false">IF(OR(B97="",G97="Live",G97="Done"),"",IF(A97&lt;Settings!$B$5,"Overdue",""))</f>
        <v/>
      </c>
      <c r="I97" s="19" t="str">
        <f aca="false">IF(B97="","",IF(COUNTIF(Campaigns!$A$5:$A$24,B97)=0,"ID not found","OK"))</f>
        <v/>
      </c>
    </row>
    <row r="98" customFormat="false" ht="15" hidden="false" customHeight="false" outlineLevel="0" collapsed="false">
      <c r="A98" s="15"/>
      <c r="B98" s="16"/>
      <c r="C98" s="16"/>
      <c r="D98" s="16"/>
      <c r="E98" s="16"/>
      <c r="F98" s="16"/>
      <c r="G98" s="16"/>
      <c r="H98" s="19" t="str">
        <f aca="false">IF(OR(B98="",G98="Live",G98="Done"),"",IF(A98&lt;Settings!$B$5,"Overdue",""))</f>
        <v/>
      </c>
      <c r="I98" s="19" t="str">
        <f aca="false">IF(B98="","",IF(COUNTIF(Campaigns!$A$5:$A$24,B98)=0,"ID not found","OK"))</f>
        <v/>
      </c>
    </row>
    <row r="99" customFormat="false" ht="15" hidden="false" customHeight="false" outlineLevel="0" collapsed="false">
      <c r="A99" s="15"/>
      <c r="B99" s="16"/>
      <c r="C99" s="16"/>
      <c r="D99" s="16"/>
      <c r="E99" s="16"/>
      <c r="F99" s="16"/>
      <c r="G99" s="16"/>
      <c r="H99" s="19" t="str">
        <f aca="false">IF(OR(B99="",G99="Live",G99="Done"),"",IF(A99&lt;Settings!$B$5,"Overdue",""))</f>
        <v/>
      </c>
      <c r="I99" s="19" t="str">
        <f aca="false">IF(B99="","",IF(COUNTIF(Campaigns!$A$5:$A$24,B99)=0,"ID not found","OK"))</f>
        <v/>
      </c>
    </row>
    <row r="100" customFormat="false" ht="15" hidden="false" customHeight="false" outlineLevel="0" collapsed="false">
      <c r="A100" s="15"/>
      <c r="B100" s="16"/>
      <c r="C100" s="16"/>
      <c r="D100" s="16"/>
      <c r="E100" s="16"/>
      <c r="F100" s="16"/>
      <c r="G100" s="16"/>
      <c r="H100" s="19" t="str">
        <f aca="false">IF(OR(B100="",G100="Live",G100="Done"),"",IF(A100&lt;Settings!$B$5,"Overdue",""))</f>
        <v/>
      </c>
      <c r="I100" s="19" t="str">
        <f aca="false">IF(B100="","",IF(COUNTIF(Campaigns!$A$5:$A$24,B100)=0,"ID not found","OK"))</f>
        <v/>
      </c>
    </row>
    <row r="101" customFormat="false" ht="15" hidden="false" customHeight="false" outlineLevel="0" collapsed="false">
      <c r="A101" s="15"/>
      <c r="B101" s="16"/>
      <c r="C101" s="16"/>
      <c r="D101" s="16"/>
      <c r="E101" s="16"/>
      <c r="F101" s="16"/>
      <c r="G101" s="16"/>
      <c r="H101" s="19" t="str">
        <f aca="false">IF(OR(B101="",G101="Live",G101="Done"),"",IF(A101&lt;Settings!$B$5,"Overdue",""))</f>
        <v/>
      </c>
      <c r="I101" s="19" t="str">
        <f aca="false">IF(B101="","",IF(COUNTIF(Campaigns!$A$5:$A$24,B101)=0,"ID not found","OK"))</f>
        <v/>
      </c>
    </row>
    <row r="102" customFormat="false" ht="15" hidden="false" customHeight="false" outlineLevel="0" collapsed="false">
      <c r="A102" s="15"/>
      <c r="B102" s="16"/>
      <c r="C102" s="16"/>
      <c r="D102" s="16"/>
      <c r="E102" s="16"/>
      <c r="F102" s="16"/>
      <c r="G102" s="16"/>
      <c r="H102" s="19" t="str">
        <f aca="false">IF(OR(B102="",G102="Live",G102="Done"),"",IF(A102&lt;Settings!$B$5,"Overdue",""))</f>
        <v/>
      </c>
      <c r="I102" s="19" t="str">
        <f aca="false">IF(B102="","",IF(COUNTIF(Campaigns!$A$5:$A$24,B102)=0,"ID not found","OK"))</f>
        <v/>
      </c>
    </row>
    <row r="103" customFormat="false" ht="15" hidden="false" customHeight="false" outlineLevel="0" collapsed="false">
      <c r="A103" s="15"/>
      <c r="B103" s="16"/>
      <c r="C103" s="16"/>
      <c r="D103" s="16"/>
      <c r="E103" s="16"/>
      <c r="F103" s="16"/>
      <c r="G103" s="16"/>
      <c r="H103" s="19" t="str">
        <f aca="false">IF(OR(B103="",G103="Live",G103="Done"),"",IF(A103&lt;Settings!$B$5,"Overdue",""))</f>
        <v/>
      </c>
      <c r="I103" s="19" t="str">
        <f aca="false">IF(B103="","",IF(COUNTIF(Campaigns!$A$5:$A$24,B103)=0,"ID not found","OK"))</f>
        <v/>
      </c>
    </row>
    <row r="104" customFormat="false" ht="15" hidden="false" customHeight="false" outlineLevel="0" collapsed="false">
      <c r="A104" s="15"/>
      <c r="B104" s="16"/>
      <c r="C104" s="16"/>
      <c r="D104" s="16"/>
      <c r="E104" s="16"/>
      <c r="F104" s="16"/>
      <c r="G104" s="16"/>
      <c r="H104" s="19" t="str">
        <f aca="false">IF(OR(B104="",G104="Live",G104="Done"),"",IF(A104&lt;Settings!$B$5,"Overdue",""))</f>
        <v/>
      </c>
      <c r="I104" s="19" t="str">
        <f aca="false">IF(B104="","",IF(COUNTIF(Campaigns!$A$5:$A$24,B104)=0,"ID not found","OK"))</f>
        <v/>
      </c>
    </row>
    <row r="105" customFormat="false" ht="15" hidden="false" customHeight="false" outlineLevel="0" collapsed="false">
      <c r="A105" s="15"/>
      <c r="B105" s="16"/>
      <c r="C105" s="16"/>
      <c r="D105" s="16"/>
      <c r="E105" s="16"/>
      <c r="F105" s="16"/>
      <c r="G105" s="16"/>
      <c r="H105" s="19" t="str">
        <f aca="false">IF(OR(B105="",G105="Live",G105="Done"),"",IF(A105&lt;Settings!$B$5,"Overdue",""))</f>
        <v/>
      </c>
      <c r="I105" s="19" t="str">
        <f aca="false">IF(B105="","",IF(COUNTIF(Campaigns!$A$5:$A$24,B105)=0,"ID not found","OK"))</f>
        <v/>
      </c>
    </row>
    <row r="106" customFormat="false" ht="15" hidden="false" customHeight="false" outlineLevel="0" collapsed="false">
      <c r="A106" s="15"/>
      <c r="B106" s="16"/>
      <c r="C106" s="16"/>
      <c r="D106" s="16"/>
      <c r="E106" s="16"/>
      <c r="F106" s="16"/>
      <c r="G106" s="16"/>
      <c r="H106" s="19" t="str">
        <f aca="false">IF(OR(B106="",G106="Live",G106="Done"),"",IF(A106&lt;Settings!$B$5,"Overdue",""))</f>
        <v/>
      </c>
      <c r="I106" s="19" t="str">
        <f aca="false">IF(B106="","",IF(COUNTIF(Campaigns!$A$5:$A$24,B106)=0,"ID not found","OK"))</f>
        <v/>
      </c>
    </row>
    <row r="107" customFormat="false" ht="15" hidden="false" customHeight="false" outlineLevel="0" collapsed="false">
      <c r="A107" s="15"/>
      <c r="B107" s="16"/>
      <c r="C107" s="16"/>
      <c r="D107" s="16"/>
      <c r="E107" s="16"/>
      <c r="F107" s="16"/>
      <c r="G107" s="16"/>
      <c r="H107" s="19" t="str">
        <f aca="false">IF(OR(B107="",G107="Live",G107="Done"),"",IF(A107&lt;Settings!$B$5,"Overdue",""))</f>
        <v/>
      </c>
      <c r="I107" s="19" t="str">
        <f aca="false">IF(B107="","",IF(COUNTIF(Campaigns!$A$5:$A$24,B107)=0,"ID not found","OK"))</f>
        <v/>
      </c>
    </row>
    <row r="108" customFormat="false" ht="15" hidden="false" customHeight="false" outlineLevel="0" collapsed="false">
      <c r="A108" s="15"/>
      <c r="B108" s="16"/>
      <c r="C108" s="16"/>
      <c r="D108" s="16"/>
      <c r="E108" s="16"/>
      <c r="F108" s="16"/>
      <c r="G108" s="16"/>
      <c r="H108" s="19" t="str">
        <f aca="false">IF(OR(B108="",G108="Live",G108="Done"),"",IF(A108&lt;Settings!$B$5,"Overdue",""))</f>
        <v/>
      </c>
      <c r="I108" s="19" t="str">
        <f aca="false">IF(B108="","",IF(COUNTIF(Campaigns!$A$5:$A$24,B108)=0,"ID not found","OK"))</f>
        <v/>
      </c>
    </row>
    <row r="109" customFormat="false" ht="15" hidden="false" customHeight="false" outlineLevel="0" collapsed="false">
      <c r="A109" s="15"/>
      <c r="B109" s="16"/>
      <c r="C109" s="16"/>
      <c r="D109" s="16"/>
      <c r="E109" s="16"/>
      <c r="F109" s="16"/>
      <c r="G109" s="16"/>
      <c r="H109" s="19" t="str">
        <f aca="false">IF(OR(B109="",G109="Live",G109="Done"),"",IF(A109&lt;Settings!$B$5,"Overdue",""))</f>
        <v/>
      </c>
      <c r="I109" s="19" t="str">
        <f aca="false">IF(B109="","",IF(COUNTIF(Campaigns!$A$5:$A$24,B109)=0,"ID not found","OK"))</f>
        <v/>
      </c>
    </row>
    <row r="110" customFormat="false" ht="15" hidden="false" customHeight="false" outlineLevel="0" collapsed="false">
      <c r="A110" s="15"/>
      <c r="B110" s="16"/>
      <c r="C110" s="16"/>
      <c r="D110" s="16"/>
      <c r="E110" s="16"/>
      <c r="F110" s="16"/>
      <c r="G110" s="16"/>
      <c r="H110" s="19" t="str">
        <f aca="false">IF(OR(B110="",G110="Live",G110="Done"),"",IF(A110&lt;Settings!$B$5,"Overdue",""))</f>
        <v/>
      </c>
      <c r="I110" s="19" t="str">
        <f aca="false">IF(B110="","",IF(COUNTIF(Campaigns!$A$5:$A$24,B110)=0,"ID not found","OK"))</f>
        <v/>
      </c>
    </row>
    <row r="111" customFormat="false" ht="15" hidden="false" customHeight="false" outlineLevel="0" collapsed="false">
      <c r="A111" s="15"/>
      <c r="B111" s="16"/>
      <c r="C111" s="16"/>
      <c r="D111" s="16"/>
      <c r="E111" s="16"/>
      <c r="F111" s="16"/>
      <c r="G111" s="16"/>
      <c r="H111" s="19" t="str">
        <f aca="false">IF(OR(B111="",G111="Live",G111="Done"),"",IF(A111&lt;Settings!$B$5,"Overdue",""))</f>
        <v/>
      </c>
      <c r="I111" s="19" t="str">
        <f aca="false">IF(B111="","",IF(COUNTIF(Campaigns!$A$5:$A$24,B111)=0,"ID not found","OK"))</f>
        <v/>
      </c>
    </row>
    <row r="112" customFormat="false" ht="15" hidden="false" customHeight="false" outlineLevel="0" collapsed="false">
      <c r="A112" s="15"/>
      <c r="B112" s="16"/>
      <c r="C112" s="16"/>
      <c r="D112" s="16"/>
      <c r="E112" s="16"/>
      <c r="F112" s="16"/>
      <c r="G112" s="16"/>
      <c r="H112" s="19" t="str">
        <f aca="false">IF(OR(B112="",G112="Live",G112="Done"),"",IF(A112&lt;Settings!$B$5,"Overdue",""))</f>
        <v/>
      </c>
      <c r="I112" s="19" t="str">
        <f aca="false">IF(B112="","",IF(COUNTIF(Campaigns!$A$5:$A$24,B112)=0,"ID not found","OK"))</f>
        <v/>
      </c>
    </row>
    <row r="113" customFormat="false" ht="15" hidden="false" customHeight="false" outlineLevel="0" collapsed="false">
      <c r="A113" s="15"/>
      <c r="B113" s="16"/>
      <c r="C113" s="16"/>
      <c r="D113" s="16"/>
      <c r="E113" s="16"/>
      <c r="F113" s="16"/>
      <c r="G113" s="16"/>
      <c r="H113" s="19" t="str">
        <f aca="false">IF(OR(B113="",G113="Live",G113="Done"),"",IF(A113&lt;Settings!$B$5,"Overdue",""))</f>
        <v/>
      </c>
      <c r="I113" s="19" t="str">
        <f aca="false">IF(B113="","",IF(COUNTIF(Campaigns!$A$5:$A$24,B113)=0,"ID not found","OK"))</f>
        <v/>
      </c>
    </row>
    <row r="114" customFormat="false" ht="15" hidden="false" customHeight="false" outlineLevel="0" collapsed="false">
      <c r="A114" s="15"/>
      <c r="B114" s="16"/>
      <c r="C114" s="16"/>
      <c r="D114" s="16"/>
      <c r="E114" s="16"/>
      <c r="F114" s="16"/>
      <c r="G114" s="16"/>
      <c r="H114" s="19" t="str">
        <f aca="false">IF(OR(B114="",G114="Live",G114="Done"),"",IF(A114&lt;Settings!$B$5,"Overdue",""))</f>
        <v/>
      </c>
      <c r="I114" s="19" t="str">
        <f aca="false">IF(B114="","",IF(COUNTIF(Campaigns!$A$5:$A$24,B114)=0,"ID not found","OK"))</f>
        <v/>
      </c>
    </row>
    <row r="115" customFormat="false" ht="15" hidden="false" customHeight="false" outlineLevel="0" collapsed="false">
      <c r="A115" s="15"/>
      <c r="B115" s="16"/>
      <c r="C115" s="16"/>
      <c r="D115" s="16"/>
      <c r="E115" s="16"/>
      <c r="F115" s="16"/>
      <c r="G115" s="16"/>
      <c r="H115" s="19" t="str">
        <f aca="false">IF(OR(B115="",G115="Live",G115="Done"),"",IF(A115&lt;Settings!$B$5,"Overdue",""))</f>
        <v/>
      </c>
      <c r="I115" s="19" t="str">
        <f aca="false">IF(B115="","",IF(COUNTIF(Campaigns!$A$5:$A$24,B115)=0,"ID not found","OK"))</f>
        <v/>
      </c>
    </row>
    <row r="116" customFormat="false" ht="15" hidden="false" customHeight="false" outlineLevel="0" collapsed="false">
      <c r="A116" s="15"/>
      <c r="B116" s="16"/>
      <c r="C116" s="16"/>
      <c r="D116" s="16"/>
      <c r="E116" s="16"/>
      <c r="F116" s="16"/>
      <c r="G116" s="16"/>
      <c r="H116" s="19" t="str">
        <f aca="false">IF(OR(B116="",G116="Live",G116="Done"),"",IF(A116&lt;Settings!$B$5,"Overdue",""))</f>
        <v/>
      </c>
      <c r="I116" s="19" t="str">
        <f aca="false">IF(B116="","",IF(COUNTIF(Campaigns!$A$5:$A$24,B116)=0,"ID not found","OK"))</f>
        <v/>
      </c>
    </row>
    <row r="117" customFormat="false" ht="15" hidden="false" customHeight="false" outlineLevel="0" collapsed="false">
      <c r="A117" s="15"/>
      <c r="B117" s="16"/>
      <c r="C117" s="16"/>
      <c r="D117" s="16"/>
      <c r="E117" s="16"/>
      <c r="F117" s="16"/>
      <c r="G117" s="16"/>
      <c r="H117" s="19" t="str">
        <f aca="false">IF(OR(B117="",G117="Live",G117="Done"),"",IF(A117&lt;Settings!$B$5,"Overdue",""))</f>
        <v/>
      </c>
      <c r="I117" s="19" t="str">
        <f aca="false">IF(B117="","",IF(COUNTIF(Campaigns!$A$5:$A$24,B117)=0,"ID not found","OK"))</f>
        <v/>
      </c>
    </row>
    <row r="118" customFormat="false" ht="15" hidden="false" customHeight="false" outlineLevel="0" collapsed="false">
      <c r="A118" s="15"/>
      <c r="B118" s="16"/>
      <c r="C118" s="16"/>
      <c r="D118" s="16"/>
      <c r="E118" s="16"/>
      <c r="F118" s="16"/>
      <c r="G118" s="16"/>
      <c r="H118" s="19" t="str">
        <f aca="false">IF(OR(B118="",G118="Live",G118="Done"),"",IF(A118&lt;Settings!$B$5,"Overdue",""))</f>
        <v/>
      </c>
      <c r="I118" s="19" t="str">
        <f aca="false">IF(B118="","",IF(COUNTIF(Campaigns!$A$5:$A$24,B118)=0,"ID not found","OK"))</f>
        <v/>
      </c>
    </row>
    <row r="119" customFormat="false" ht="15" hidden="false" customHeight="false" outlineLevel="0" collapsed="false">
      <c r="A119" s="15"/>
      <c r="B119" s="16"/>
      <c r="C119" s="16"/>
      <c r="D119" s="16"/>
      <c r="E119" s="16"/>
      <c r="F119" s="16"/>
      <c r="G119" s="16"/>
      <c r="H119" s="19" t="str">
        <f aca="false">IF(OR(B119="",G119="Live",G119="Done"),"",IF(A119&lt;Settings!$B$5,"Overdue",""))</f>
        <v/>
      </c>
      <c r="I119" s="19" t="str">
        <f aca="false">IF(B119="","",IF(COUNTIF(Campaigns!$A$5:$A$24,B119)=0,"ID not found","OK"))</f>
        <v/>
      </c>
    </row>
    <row r="120" customFormat="false" ht="15" hidden="false" customHeight="false" outlineLevel="0" collapsed="false">
      <c r="A120" s="15"/>
      <c r="B120" s="16"/>
      <c r="C120" s="16"/>
      <c r="D120" s="16"/>
      <c r="E120" s="16"/>
      <c r="F120" s="16"/>
      <c r="G120" s="16"/>
      <c r="H120" s="19" t="str">
        <f aca="false">IF(OR(B120="",G120="Live",G120="Done"),"",IF(A120&lt;Settings!$B$5,"Overdue",""))</f>
        <v/>
      </c>
      <c r="I120" s="19" t="str">
        <f aca="false">IF(B120="","",IF(COUNTIF(Campaigns!$A$5:$A$24,B120)=0,"ID not found","OK"))</f>
        <v/>
      </c>
    </row>
    <row r="121" customFormat="false" ht="15" hidden="false" customHeight="false" outlineLevel="0" collapsed="false">
      <c r="A121" s="15"/>
      <c r="B121" s="16"/>
      <c r="C121" s="16"/>
      <c r="D121" s="16"/>
      <c r="E121" s="16"/>
      <c r="F121" s="16"/>
      <c r="G121" s="16"/>
      <c r="H121" s="19" t="str">
        <f aca="false">IF(OR(B121="",G121="Live",G121="Done"),"",IF(A121&lt;Settings!$B$5,"Overdue",""))</f>
        <v/>
      </c>
      <c r="I121" s="19" t="str">
        <f aca="false">IF(B121="","",IF(COUNTIF(Campaigns!$A$5:$A$24,B121)=0,"ID not found","OK"))</f>
        <v/>
      </c>
    </row>
    <row r="122" customFormat="false" ht="15" hidden="false" customHeight="false" outlineLevel="0" collapsed="false">
      <c r="A122" s="15"/>
      <c r="B122" s="16"/>
      <c r="C122" s="16"/>
      <c r="D122" s="16"/>
      <c r="E122" s="16"/>
      <c r="F122" s="16"/>
      <c r="G122" s="16"/>
      <c r="H122" s="19" t="str">
        <f aca="false">IF(OR(B122="",G122="Live",G122="Done"),"",IF(A122&lt;Settings!$B$5,"Overdue",""))</f>
        <v/>
      </c>
      <c r="I122" s="19" t="str">
        <f aca="false">IF(B122="","",IF(COUNTIF(Campaigns!$A$5:$A$24,B122)=0,"ID not found","OK"))</f>
        <v/>
      </c>
    </row>
    <row r="123" customFormat="false" ht="15" hidden="false" customHeight="false" outlineLevel="0" collapsed="false">
      <c r="A123" s="15"/>
      <c r="B123" s="16"/>
      <c r="C123" s="16"/>
      <c r="D123" s="16"/>
      <c r="E123" s="16"/>
      <c r="F123" s="16"/>
      <c r="G123" s="16"/>
      <c r="H123" s="19" t="str">
        <f aca="false">IF(OR(B123="",G123="Live",G123="Done"),"",IF(A123&lt;Settings!$B$5,"Overdue",""))</f>
        <v/>
      </c>
      <c r="I123" s="19" t="str">
        <f aca="false">IF(B123="","",IF(COUNTIF(Campaigns!$A$5:$A$24,B123)=0,"ID not found","OK"))</f>
        <v/>
      </c>
    </row>
    <row r="124" customFormat="false" ht="15" hidden="false" customHeight="false" outlineLevel="0" collapsed="false">
      <c r="A124" s="15"/>
      <c r="B124" s="16"/>
      <c r="C124" s="16"/>
      <c r="D124" s="16"/>
      <c r="E124" s="16"/>
      <c r="F124" s="16"/>
      <c r="G124" s="16"/>
      <c r="H124" s="19" t="str">
        <f aca="false">IF(OR(B124="",G124="Live",G124="Done"),"",IF(A124&lt;Settings!$B$5,"Overdue",""))</f>
        <v/>
      </c>
      <c r="I124" s="19" t="str">
        <f aca="false">IF(B124="","",IF(COUNTIF(Campaigns!$A$5:$A$24,B124)=0,"ID not found","OK"))</f>
        <v/>
      </c>
    </row>
    <row r="125" customFormat="false" ht="15" hidden="false" customHeight="false" outlineLevel="0" collapsed="false">
      <c r="A125" s="15"/>
      <c r="B125" s="16"/>
      <c r="C125" s="16"/>
      <c r="D125" s="16"/>
      <c r="E125" s="16"/>
      <c r="F125" s="16"/>
      <c r="G125" s="16"/>
      <c r="H125" s="19" t="str">
        <f aca="false">IF(OR(B125="",G125="Live",G125="Done"),"",IF(A125&lt;Settings!$B$5,"Overdue",""))</f>
        <v/>
      </c>
      <c r="I125" s="19" t="str">
        <f aca="false">IF(B125="","",IF(COUNTIF(Campaigns!$A$5:$A$24,B125)=0,"ID not found","OK"))</f>
        <v/>
      </c>
    </row>
    <row r="126" customFormat="false" ht="15" hidden="false" customHeight="false" outlineLevel="0" collapsed="false">
      <c r="A126" s="15"/>
      <c r="B126" s="16"/>
      <c r="C126" s="16"/>
      <c r="D126" s="16"/>
      <c r="E126" s="16"/>
      <c r="F126" s="16"/>
      <c r="G126" s="16"/>
      <c r="H126" s="19" t="str">
        <f aca="false">IF(OR(B126="",G126="Live",G126="Done"),"",IF(A126&lt;Settings!$B$5,"Overdue",""))</f>
        <v/>
      </c>
      <c r="I126" s="19" t="str">
        <f aca="false">IF(B126="","",IF(COUNTIF(Campaigns!$A$5:$A$24,B126)=0,"ID not found","OK"))</f>
        <v/>
      </c>
    </row>
    <row r="127" customFormat="false" ht="15" hidden="false" customHeight="false" outlineLevel="0" collapsed="false">
      <c r="A127" s="15"/>
      <c r="B127" s="16"/>
      <c r="C127" s="16"/>
      <c r="D127" s="16"/>
      <c r="E127" s="16"/>
      <c r="F127" s="16"/>
      <c r="G127" s="16"/>
      <c r="H127" s="19" t="str">
        <f aca="false">IF(OR(B127="",G127="Live",G127="Done"),"",IF(A127&lt;Settings!$B$5,"Overdue",""))</f>
        <v/>
      </c>
      <c r="I127" s="19" t="str">
        <f aca="false">IF(B127="","",IF(COUNTIF(Campaigns!$A$5:$A$24,B127)=0,"ID not found","OK"))</f>
        <v/>
      </c>
    </row>
    <row r="128" customFormat="false" ht="15" hidden="false" customHeight="false" outlineLevel="0" collapsed="false">
      <c r="A128" s="15"/>
      <c r="B128" s="16"/>
      <c r="C128" s="16"/>
      <c r="D128" s="16"/>
      <c r="E128" s="16"/>
      <c r="F128" s="16"/>
      <c r="G128" s="16"/>
      <c r="H128" s="19" t="str">
        <f aca="false">IF(OR(B128="",G128="Live",G128="Done"),"",IF(A128&lt;Settings!$B$5,"Overdue",""))</f>
        <v/>
      </c>
      <c r="I128" s="19" t="str">
        <f aca="false">IF(B128="","",IF(COUNTIF(Campaigns!$A$5:$A$24,B128)=0,"ID not found","OK"))</f>
        <v/>
      </c>
    </row>
    <row r="129" customFormat="false" ht="15" hidden="false" customHeight="false" outlineLevel="0" collapsed="false">
      <c r="A129" s="15"/>
      <c r="B129" s="16"/>
      <c r="C129" s="16"/>
      <c r="D129" s="16"/>
      <c r="E129" s="16"/>
      <c r="F129" s="16"/>
      <c r="G129" s="16"/>
      <c r="H129" s="19" t="str">
        <f aca="false">IF(OR(B129="",G129="Live",G129="Done"),"",IF(A129&lt;Settings!$B$5,"Overdue",""))</f>
        <v/>
      </c>
      <c r="I129" s="19" t="str">
        <f aca="false">IF(B129="","",IF(COUNTIF(Campaigns!$A$5:$A$24,B129)=0,"ID not found","OK"))</f>
        <v/>
      </c>
    </row>
    <row r="130" customFormat="false" ht="15" hidden="false" customHeight="false" outlineLevel="0" collapsed="false">
      <c r="A130" s="15"/>
      <c r="B130" s="16"/>
      <c r="C130" s="16"/>
      <c r="D130" s="16"/>
      <c r="E130" s="16"/>
      <c r="F130" s="16"/>
      <c r="G130" s="16"/>
      <c r="H130" s="19" t="str">
        <f aca="false">IF(OR(B130="",G130="Live",G130="Done"),"",IF(A130&lt;Settings!$B$5,"Overdue",""))</f>
        <v/>
      </c>
      <c r="I130" s="19" t="str">
        <f aca="false">IF(B130="","",IF(COUNTIF(Campaigns!$A$5:$A$24,B130)=0,"ID not found","OK"))</f>
        <v/>
      </c>
    </row>
    <row r="131" customFormat="false" ht="15" hidden="false" customHeight="false" outlineLevel="0" collapsed="false">
      <c r="A131" s="15"/>
      <c r="B131" s="16"/>
      <c r="C131" s="16"/>
      <c r="D131" s="16"/>
      <c r="E131" s="16"/>
      <c r="F131" s="16"/>
      <c r="G131" s="16"/>
      <c r="H131" s="19" t="str">
        <f aca="false">IF(OR(B131="",G131="Live",G131="Done"),"",IF(A131&lt;Settings!$B$5,"Overdue",""))</f>
        <v/>
      </c>
      <c r="I131" s="19" t="str">
        <f aca="false">IF(B131="","",IF(COUNTIF(Campaigns!$A$5:$A$24,B131)=0,"ID not found","OK"))</f>
        <v/>
      </c>
    </row>
    <row r="132" customFormat="false" ht="15" hidden="false" customHeight="false" outlineLevel="0" collapsed="false">
      <c r="A132" s="15"/>
      <c r="B132" s="16"/>
      <c r="C132" s="16"/>
      <c r="D132" s="16"/>
      <c r="E132" s="16"/>
      <c r="F132" s="16"/>
      <c r="G132" s="16"/>
      <c r="H132" s="19" t="str">
        <f aca="false">IF(OR(B132="",G132="Live",G132="Done"),"",IF(A132&lt;Settings!$B$5,"Overdue",""))</f>
        <v/>
      </c>
      <c r="I132" s="19" t="str">
        <f aca="false">IF(B132="","",IF(COUNTIF(Campaigns!$A$5:$A$24,B132)=0,"ID not found","OK"))</f>
        <v/>
      </c>
    </row>
    <row r="133" customFormat="false" ht="15" hidden="false" customHeight="false" outlineLevel="0" collapsed="false">
      <c r="A133" s="15"/>
      <c r="B133" s="16"/>
      <c r="C133" s="16"/>
      <c r="D133" s="16"/>
      <c r="E133" s="16"/>
      <c r="F133" s="16"/>
      <c r="G133" s="16"/>
      <c r="H133" s="19" t="str">
        <f aca="false">IF(OR(B133="",G133="Live",G133="Done"),"",IF(A133&lt;Settings!$B$5,"Overdue",""))</f>
        <v/>
      </c>
      <c r="I133" s="19" t="str">
        <f aca="false">IF(B133="","",IF(COUNTIF(Campaigns!$A$5:$A$24,B133)=0,"ID not found","OK"))</f>
        <v/>
      </c>
    </row>
    <row r="134" customFormat="false" ht="15" hidden="false" customHeight="false" outlineLevel="0" collapsed="false">
      <c r="A134" s="15"/>
      <c r="B134" s="16"/>
      <c r="C134" s="16"/>
      <c r="D134" s="16"/>
      <c r="E134" s="16"/>
      <c r="F134" s="16"/>
      <c r="G134" s="16"/>
      <c r="H134" s="19" t="str">
        <f aca="false">IF(OR(B134="",G134="Live",G134="Done"),"",IF(A134&lt;Settings!$B$5,"Overdue",""))</f>
        <v/>
      </c>
      <c r="I134" s="19" t="str">
        <f aca="false">IF(B134="","",IF(COUNTIF(Campaigns!$A$5:$A$24,B134)=0,"ID not found","OK"))</f>
        <v/>
      </c>
    </row>
    <row r="135" customFormat="false" ht="15" hidden="false" customHeight="false" outlineLevel="0" collapsed="false">
      <c r="A135" s="15"/>
      <c r="B135" s="16"/>
      <c r="C135" s="16"/>
      <c r="D135" s="16"/>
      <c r="E135" s="16"/>
      <c r="F135" s="16"/>
      <c r="G135" s="16"/>
      <c r="H135" s="19" t="str">
        <f aca="false">IF(OR(B135="",G135="Live",G135="Done"),"",IF(A135&lt;Settings!$B$5,"Overdue",""))</f>
        <v/>
      </c>
      <c r="I135" s="19" t="str">
        <f aca="false">IF(B135="","",IF(COUNTIF(Campaigns!$A$5:$A$24,B135)=0,"ID not found","OK"))</f>
        <v/>
      </c>
    </row>
    <row r="136" customFormat="false" ht="15" hidden="false" customHeight="false" outlineLevel="0" collapsed="false">
      <c r="A136" s="15"/>
      <c r="B136" s="16"/>
      <c r="C136" s="16"/>
      <c r="D136" s="16"/>
      <c r="E136" s="16"/>
      <c r="F136" s="16"/>
      <c r="G136" s="16"/>
      <c r="H136" s="19" t="str">
        <f aca="false">IF(OR(B136="",G136="Live",G136="Done"),"",IF(A136&lt;Settings!$B$5,"Overdue",""))</f>
        <v/>
      </c>
      <c r="I136" s="19" t="str">
        <f aca="false">IF(B136="","",IF(COUNTIF(Campaigns!$A$5:$A$24,B136)=0,"ID not found","OK"))</f>
        <v/>
      </c>
    </row>
    <row r="137" customFormat="false" ht="15" hidden="false" customHeight="false" outlineLevel="0" collapsed="false">
      <c r="A137" s="15"/>
      <c r="B137" s="16"/>
      <c r="C137" s="16"/>
      <c r="D137" s="16"/>
      <c r="E137" s="16"/>
      <c r="F137" s="16"/>
      <c r="G137" s="16"/>
      <c r="H137" s="19" t="str">
        <f aca="false">IF(OR(B137="",G137="Live",G137="Done"),"",IF(A137&lt;Settings!$B$5,"Overdue",""))</f>
        <v/>
      </c>
      <c r="I137" s="19" t="str">
        <f aca="false">IF(B137="","",IF(COUNTIF(Campaigns!$A$5:$A$24,B137)=0,"ID not found","OK"))</f>
        <v/>
      </c>
    </row>
    <row r="138" customFormat="false" ht="15" hidden="false" customHeight="false" outlineLevel="0" collapsed="false">
      <c r="A138" s="15"/>
      <c r="B138" s="16"/>
      <c r="C138" s="16"/>
      <c r="D138" s="16"/>
      <c r="E138" s="16"/>
      <c r="F138" s="16"/>
      <c r="G138" s="16"/>
      <c r="H138" s="19" t="str">
        <f aca="false">IF(OR(B138="",G138="Live",G138="Done"),"",IF(A138&lt;Settings!$B$5,"Overdue",""))</f>
        <v/>
      </c>
      <c r="I138" s="19" t="str">
        <f aca="false">IF(B138="","",IF(COUNTIF(Campaigns!$A$5:$A$24,B138)=0,"ID not found","OK"))</f>
        <v/>
      </c>
    </row>
    <row r="139" customFormat="false" ht="15" hidden="false" customHeight="false" outlineLevel="0" collapsed="false">
      <c r="A139" s="15"/>
      <c r="B139" s="16"/>
      <c r="C139" s="16"/>
      <c r="D139" s="16"/>
      <c r="E139" s="16"/>
      <c r="F139" s="16"/>
      <c r="G139" s="16"/>
      <c r="H139" s="19" t="str">
        <f aca="false">IF(OR(B139="",G139="Live",G139="Done"),"",IF(A139&lt;Settings!$B$5,"Overdue",""))</f>
        <v/>
      </c>
      <c r="I139" s="19" t="str">
        <f aca="false">IF(B139="","",IF(COUNTIF(Campaigns!$A$5:$A$24,B139)=0,"ID not found","OK"))</f>
        <v/>
      </c>
    </row>
    <row r="140" customFormat="false" ht="15" hidden="false" customHeight="false" outlineLevel="0" collapsed="false">
      <c r="A140" s="15"/>
      <c r="B140" s="16"/>
      <c r="C140" s="16"/>
      <c r="D140" s="16"/>
      <c r="E140" s="16"/>
      <c r="F140" s="16"/>
      <c r="G140" s="16"/>
      <c r="H140" s="19" t="str">
        <f aca="false">IF(OR(B140="",G140="Live",G140="Done"),"",IF(A140&lt;Settings!$B$5,"Overdue",""))</f>
        <v/>
      </c>
      <c r="I140" s="19" t="str">
        <f aca="false">IF(B140="","",IF(COUNTIF(Campaigns!$A$5:$A$24,B140)=0,"ID not found","OK"))</f>
        <v/>
      </c>
    </row>
    <row r="141" customFormat="false" ht="15" hidden="false" customHeight="false" outlineLevel="0" collapsed="false">
      <c r="A141" s="15"/>
      <c r="B141" s="16"/>
      <c r="C141" s="16"/>
      <c r="D141" s="16"/>
      <c r="E141" s="16"/>
      <c r="F141" s="16"/>
      <c r="G141" s="16"/>
      <c r="H141" s="19" t="str">
        <f aca="false">IF(OR(B141="",G141="Live",G141="Done"),"",IF(A141&lt;Settings!$B$5,"Overdue",""))</f>
        <v/>
      </c>
      <c r="I141" s="19" t="str">
        <f aca="false">IF(B141="","",IF(COUNTIF(Campaigns!$A$5:$A$24,B141)=0,"ID not found","OK"))</f>
        <v/>
      </c>
    </row>
    <row r="142" customFormat="false" ht="15" hidden="false" customHeight="false" outlineLevel="0" collapsed="false">
      <c r="A142" s="15"/>
      <c r="B142" s="16"/>
      <c r="C142" s="16"/>
      <c r="D142" s="16"/>
      <c r="E142" s="16"/>
      <c r="F142" s="16"/>
      <c r="G142" s="16"/>
      <c r="H142" s="19" t="str">
        <f aca="false">IF(OR(B142="",G142="Live",G142="Done"),"",IF(A142&lt;Settings!$B$5,"Overdue",""))</f>
        <v/>
      </c>
      <c r="I142" s="19" t="str">
        <f aca="false">IF(B142="","",IF(COUNTIF(Campaigns!$A$5:$A$24,B142)=0,"ID not found","OK"))</f>
        <v/>
      </c>
    </row>
    <row r="143" customFormat="false" ht="15" hidden="false" customHeight="false" outlineLevel="0" collapsed="false">
      <c r="A143" s="15"/>
      <c r="B143" s="16"/>
      <c r="C143" s="16"/>
      <c r="D143" s="16"/>
      <c r="E143" s="16"/>
      <c r="F143" s="16"/>
      <c r="G143" s="16"/>
      <c r="H143" s="19" t="str">
        <f aca="false">IF(OR(B143="",G143="Live",G143="Done"),"",IF(A143&lt;Settings!$B$5,"Overdue",""))</f>
        <v/>
      </c>
      <c r="I143" s="19" t="str">
        <f aca="false">IF(B143="","",IF(COUNTIF(Campaigns!$A$5:$A$24,B143)=0,"ID not found","OK"))</f>
        <v/>
      </c>
    </row>
    <row r="144" customFormat="false" ht="15" hidden="false" customHeight="false" outlineLevel="0" collapsed="false">
      <c r="A144" s="15"/>
      <c r="B144" s="16"/>
      <c r="C144" s="16"/>
      <c r="D144" s="16"/>
      <c r="E144" s="16"/>
      <c r="F144" s="16"/>
      <c r="G144" s="16"/>
      <c r="H144" s="19" t="str">
        <f aca="false">IF(OR(B144="",G144="Live",G144="Done"),"",IF(A144&lt;Settings!$B$5,"Overdue",""))</f>
        <v/>
      </c>
      <c r="I144" s="19" t="str">
        <f aca="false">IF(B144="","",IF(COUNTIF(Campaigns!$A$5:$A$24,B144)=0,"ID not found","OK"))</f>
        <v/>
      </c>
    </row>
    <row r="145" customFormat="false" ht="15" hidden="false" customHeight="false" outlineLevel="0" collapsed="false">
      <c r="A145" s="15"/>
      <c r="B145" s="16"/>
      <c r="C145" s="16"/>
      <c r="D145" s="16"/>
      <c r="E145" s="16"/>
      <c r="F145" s="16"/>
      <c r="G145" s="16"/>
      <c r="H145" s="19" t="str">
        <f aca="false">IF(OR(B145="",G145="Live",G145="Done"),"",IF(A145&lt;Settings!$B$5,"Overdue",""))</f>
        <v/>
      </c>
      <c r="I145" s="19" t="str">
        <f aca="false">IF(B145="","",IF(COUNTIF(Campaigns!$A$5:$A$24,B145)=0,"ID not found","OK"))</f>
        <v/>
      </c>
    </row>
    <row r="146" customFormat="false" ht="15" hidden="false" customHeight="false" outlineLevel="0" collapsed="false">
      <c r="A146" s="15"/>
      <c r="B146" s="16"/>
      <c r="C146" s="16"/>
      <c r="D146" s="16"/>
      <c r="E146" s="16"/>
      <c r="F146" s="16"/>
      <c r="G146" s="16"/>
      <c r="H146" s="19" t="str">
        <f aca="false">IF(OR(B146="",G146="Live",G146="Done"),"",IF(A146&lt;Settings!$B$5,"Overdue",""))</f>
        <v/>
      </c>
      <c r="I146" s="19" t="str">
        <f aca="false">IF(B146="","",IF(COUNTIF(Campaigns!$A$5:$A$24,B146)=0,"ID not found","OK"))</f>
        <v/>
      </c>
    </row>
    <row r="147" customFormat="false" ht="15" hidden="false" customHeight="false" outlineLevel="0" collapsed="false">
      <c r="A147" s="15"/>
      <c r="B147" s="16"/>
      <c r="C147" s="16"/>
      <c r="D147" s="16"/>
      <c r="E147" s="16"/>
      <c r="F147" s="16"/>
      <c r="G147" s="16"/>
      <c r="H147" s="19" t="str">
        <f aca="false">IF(OR(B147="",G147="Live",G147="Done"),"",IF(A147&lt;Settings!$B$5,"Overdue",""))</f>
        <v/>
      </c>
      <c r="I147" s="19" t="str">
        <f aca="false">IF(B147="","",IF(COUNTIF(Campaigns!$A$5:$A$24,B147)=0,"ID not found","OK"))</f>
        <v/>
      </c>
    </row>
    <row r="148" customFormat="false" ht="15" hidden="false" customHeight="false" outlineLevel="0" collapsed="false">
      <c r="A148" s="15"/>
      <c r="B148" s="16"/>
      <c r="C148" s="16"/>
      <c r="D148" s="16"/>
      <c r="E148" s="16"/>
      <c r="F148" s="16"/>
      <c r="G148" s="16"/>
      <c r="H148" s="19" t="str">
        <f aca="false">IF(OR(B148="",G148="Live",G148="Done"),"",IF(A148&lt;Settings!$B$5,"Overdue",""))</f>
        <v/>
      </c>
      <c r="I148" s="19" t="str">
        <f aca="false">IF(B148="","",IF(COUNTIF(Campaigns!$A$5:$A$24,B148)=0,"ID not found","OK"))</f>
        <v/>
      </c>
    </row>
    <row r="149" customFormat="false" ht="15" hidden="false" customHeight="false" outlineLevel="0" collapsed="false">
      <c r="A149" s="15"/>
      <c r="B149" s="16"/>
      <c r="C149" s="16"/>
      <c r="D149" s="16"/>
      <c r="E149" s="16"/>
      <c r="F149" s="16"/>
      <c r="G149" s="16"/>
      <c r="H149" s="19" t="str">
        <f aca="false">IF(OR(B149="",G149="Live",G149="Done"),"",IF(A149&lt;Settings!$B$5,"Overdue",""))</f>
        <v/>
      </c>
      <c r="I149" s="19" t="str">
        <f aca="false">IF(B149="","",IF(COUNTIF(Campaigns!$A$5:$A$24,B149)=0,"ID not found","OK"))</f>
        <v/>
      </c>
    </row>
    <row r="150" customFormat="false" ht="15" hidden="false" customHeight="false" outlineLevel="0" collapsed="false">
      <c r="A150" s="15"/>
      <c r="B150" s="16"/>
      <c r="C150" s="16"/>
      <c r="D150" s="16"/>
      <c r="E150" s="16"/>
      <c r="F150" s="16"/>
      <c r="G150" s="16"/>
      <c r="H150" s="19" t="str">
        <f aca="false">IF(OR(B150="",G150="Live",G150="Done"),"",IF(A150&lt;Settings!$B$5,"Overdue",""))</f>
        <v/>
      </c>
      <c r="I150" s="19" t="str">
        <f aca="false">IF(B150="","",IF(COUNTIF(Campaigns!$A$5:$A$24,B150)=0,"ID not found","OK"))</f>
        <v/>
      </c>
    </row>
    <row r="151" customFormat="false" ht="15" hidden="false" customHeight="false" outlineLevel="0" collapsed="false">
      <c r="A151" s="15"/>
      <c r="B151" s="16"/>
      <c r="C151" s="16"/>
      <c r="D151" s="16"/>
      <c r="E151" s="16"/>
      <c r="F151" s="16"/>
      <c r="G151" s="16"/>
      <c r="H151" s="19" t="str">
        <f aca="false">IF(OR(B151="",G151="Live",G151="Done"),"",IF(A151&lt;Settings!$B$5,"Overdue",""))</f>
        <v/>
      </c>
      <c r="I151" s="19" t="str">
        <f aca="false">IF(B151="","",IF(COUNTIF(Campaigns!$A$5:$A$24,B151)=0,"ID not found","OK"))</f>
        <v/>
      </c>
    </row>
    <row r="152" customFormat="false" ht="15" hidden="false" customHeight="false" outlineLevel="0" collapsed="false">
      <c r="A152" s="15"/>
      <c r="B152" s="16"/>
      <c r="C152" s="16"/>
      <c r="D152" s="16"/>
      <c r="E152" s="16"/>
      <c r="F152" s="16"/>
      <c r="G152" s="16"/>
      <c r="H152" s="19" t="str">
        <f aca="false">IF(OR(B152="",G152="Live",G152="Done"),"",IF(A152&lt;Settings!$B$5,"Overdue",""))</f>
        <v/>
      </c>
      <c r="I152" s="19" t="str">
        <f aca="false">IF(B152="","",IF(COUNTIF(Campaigns!$A$5:$A$24,B152)=0,"ID not found","OK"))</f>
        <v/>
      </c>
    </row>
    <row r="153" customFormat="false" ht="15" hidden="false" customHeight="false" outlineLevel="0" collapsed="false">
      <c r="A153" s="15"/>
      <c r="B153" s="16"/>
      <c r="C153" s="16"/>
      <c r="D153" s="16"/>
      <c r="E153" s="16"/>
      <c r="F153" s="16"/>
      <c r="G153" s="16"/>
      <c r="H153" s="19" t="str">
        <f aca="false">IF(OR(B153="",G153="Live",G153="Done"),"",IF(A153&lt;Settings!$B$5,"Overdue",""))</f>
        <v/>
      </c>
      <c r="I153" s="19" t="str">
        <f aca="false">IF(B153="","",IF(COUNTIF(Campaigns!$A$5:$A$24,B153)=0,"ID not found","OK"))</f>
        <v/>
      </c>
    </row>
    <row r="154" customFormat="false" ht="15" hidden="false" customHeight="false" outlineLevel="0" collapsed="false">
      <c r="A154" s="15"/>
      <c r="B154" s="16"/>
      <c r="C154" s="16"/>
      <c r="D154" s="16"/>
      <c r="E154" s="16"/>
      <c r="F154" s="16"/>
      <c r="G154" s="16"/>
      <c r="H154" s="19" t="str">
        <f aca="false">IF(OR(B154="",G154="Live",G154="Done"),"",IF(A154&lt;Settings!$B$5,"Overdue",""))</f>
        <v/>
      </c>
      <c r="I154" s="19" t="str">
        <f aca="false">IF(B154="","",IF(COUNTIF(Campaigns!$A$5:$A$24,B154)=0,"ID not found","OK"))</f>
        <v/>
      </c>
    </row>
    <row r="155" customFormat="false" ht="15" hidden="false" customHeight="false" outlineLevel="0" collapsed="false">
      <c r="A155" s="15"/>
      <c r="B155" s="16"/>
      <c r="C155" s="16"/>
      <c r="D155" s="16"/>
      <c r="E155" s="16"/>
      <c r="F155" s="16"/>
      <c r="G155" s="16"/>
      <c r="H155" s="19" t="str">
        <f aca="false">IF(OR(B155="",G155="Live",G155="Done"),"",IF(A155&lt;Settings!$B$5,"Overdue",""))</f>
        <v/>
      </c>
      <c r="I155" s="19" t="str">
        <f aca="false">IF(B155="","",IF(COUNTIF(Campaigns!$A$5:$A$24,B155)=0,"ID not found","OK"))</f>
        <v/>
      </c>
    </row>
    <row r="156" customFormat="false" ht="15" hidden="false" customHeight="false" outlineLevel="0" collapsed="false">
      <c r="A156" s="15"/>
      <c r="B156" s="16"/>
      <c r="C156" s="16"/>
      <c r="D156" s="16"/>
      <c r="E156" s="16"/>
      <c r="F156" s="16"/>
      <c r="G156" s="16"/>
      <c r="H156" s="19" t="str">
        <f aca="false">IF(OR(B156="",G156="Live",G156="Done"),"",IF(A156&lt;Settings!$B$5,"Overdue",""))</f>
        <v/>
      </c>
      <c r="I156" s="19" t="str">
        <f aca="false">IF(B156="","",IF(COUNTIF(Campaigns!$A$5:$A$24,B156)=0,"ID not found","OK"))</f>
        <v/>
      </c>
    </row>
    <row r="157" customFormat="false" ht="15" hidden="false" customHeight="false" outlineLevel="0" collapsed="false">
      <c r="A157" s="15"/>
      <c r="B157" s="16"/>
      <c r="C157" s="16"/>
      <c r="D157" s="16"/>
      <c r="E157" s="16"/>
      <c r="F157" s="16"/>
      <c r="G157" s="16"/>
      <c r="H157" s="19" t="str">
        <f aca="false">IF(OR(B157="",G157="Live",G157="Done"),"",IF(A157&lt;Settings!$B$5,"Overdue",""))</f>
        <v/>
      </c>
      <c r="I157" s="19" t="str">
        <f aca="false">IF(B157="","",IF(COUNTIF(Campaigns!$A$5:$A$24,B157)=0,"ID not found","OK"))</f>
        <v/>
      </c>
    </row>
    <row r="158" customFormat="false" ht="15" hidden="false" customHeight="false" outlineLevel="0" collapsed="false">
      <c r="A158" s="15"/>
      <c r="B158" s="16"/>
      <c r="C158" s="16"/>
      <c r="D158" s="16"/>
      <c r="E158" s="16"/>
      <c r="F158" s="16"/>
      <c r="G158" s="16"/>
      <c r="H158" s="19" t="str">
        <f aca="false">IF(OR(B158="",G158="Live",G158="Done"),"",IF(A158&lt;Settings!$B$5,"Overdue",""))</f>
        <v/>
      </c>
      <c r="I158" s="19" t="str">
        <f aca="false">IF(B158="","",IF(COUNTIF(Campaigns!$A$5:$A$24,B158)=0,"ID not found","OK"))</f>
        <v/>
      </c>
    </row>
    <row r="159" customFormat="false" ht="15" hidden="false" customHeight="false" outlineLevel="0" collapsed="false">
      <c r="A159" s="15"/>
      <c r="B159" s="16"/>
      <c r="C159" s="16"/>
      <c r="D159" s="16"/>
      <c r="E159" s="16"/>
      <c r="F159" s="16"/>
      <c r="G159" s="16"/>
      <c r="H159" s="19" t="str">
        <f aca="false">IF(OR(B159="",G159="Live",G159="Done"),"",IF(A159&lt;Settings!$B$5,"Overdue",""))</f>
        <v/>
      </c>
      <c r="I159" s="19" t="str">
        <f aca="false">IF(B159="","",IF(COUNTIF(Campaigns!$A$5:$A$24,B159)=0,"ID not found","OK"))</f>
        <v/>
      </c>
    </row>
    <row r="160" customFormat="false" ht="15" hidden="false" customHeight="false" outlineLevel="0" collapsed="false">
      <c r="A160" s="15"/>
      <c r="B160" s="16"/>
      <c r="C160" s="16"/>
      <c r="D160" s="16"/>
      <c r="E160" s="16"/>
      <c r="F160" s="16"/>
      <c r="G160" s="16"/>
      <c r="H160" s="19" t="str">
        <f aca="false">IF(OR(B160="",G160="Live",G160="Done"),"",IF(A160&lt;Settings!$B$5,"Overdue",""))</f>
        <v/>
      </c>
      <c r="I160" s="19" t="str">
        <f aca="false">IF(B160="","",IF(COUNTIF(Campaigns!$A$5:$A$24,B160)=0,"ID not found","OK"))</f>
        <v/>
      </c>
    </row>
    <row r="161" customFormat="false" ht="15" hidden="false" customHeight="false" outlineLevel="0" collapsed="false">
      <c r="A161" s="15"/>
      <c r="B161" s="16"/>
      <c r="C161" s="16"/>
      <c r="D161" s="16"/>
      <c r="E161" s="16"/>
      <c r="F161" s="16"/>
      <c r="G161" s="16"/>
      <c r="H161" s="19" t="str">
        <f aca="false">IF(OR(B161="",G161="Live",G161="Done"),"",IF(A161&lt;Settings!$B$5,"Overdue",""))</f>
        <v/>
      </c>
      <c r="I161" s="19" t="str">
        <f aca="false">IF(B161="","",IF(COUNTIF(Campaigns!$A$5:$A$24,B161)=0,"ID not found","OK"))</f>
        <v/>
      </c>
    </row>
    <row r="162" customFormat="false" ht="15" hidden="false" customHeight="false" outlineLevel="0" collapsed="false">
      <c r="A162" s="15"/>
      <c r="B162" s="16"/>
      <c r="C162" s="16"/>
      <c r="D162" s="16"/>
      <c r="E162" s="16"/>
      <c r="F162" s="16"/>
      <c r="G162" s="16"/>
      <c r="H162" s="19" t="str">
        <f aca="false">IF(OR(B162="",G162="Live",G162="Done"),"",IF(A162&lt;Settings!$B$5,"Overdue",""))</f>
        <v/>
      </c>
      <c r="I162" s="19" t="str">
        <f aca="false">IF(B162="","",IF(COUNTIF(Campaigns!$A$5:$A$24,B162)=0,"ID not found","OK"))</f>
        <v/>
      </c>
    </row>
    <row r="163" customFormat="false" ht="15" hidden="false" customHeight="false" outlineLevel="0" collapsed="false">
      <c r="A163" s="15"/>
      <c r="B163" s="16"/>
      <c r="C163" s="16"/>
      <c r="D163" s="16"/>
      <c r="E163" s="16"/>
      <c r="F163" s="16"/>
      <c r="G163" s="16"/>
      <c r="H163" s="19" t="str">
        <f aca="false">IF(OR(B163="",G163="Live",G163="Done"),"",IF(A163&lt;Settings!$B$5,"Overdue",""))</f>
        <v/>
      </c>
      <c r="I163" s="19" t="str">
        <f aca="false">IF(B163="","",IF(COUNTIF(Campaigns!$A$5:$A$24,B163)=0,"ID not found","OK"))</f>
        <v/>
      </c>
    </row>
    <row r="164" customFormat="false" ht="15" hidden="false" customHeight="false" outlineLevel="0" collapsed="false">
      <c r="A164" s="15"/>
      <c r="B164" s="16"/>
      <c r="C164" s="16"/>
      <c r="D164" s="16"/>
      <c r="E164" s="16"/>
      <c r="F164" s="16"/>
      <c r="G164" s="16"/>
      <c r="H164" s="19" t="str">
        <f aca="false">IF(OR(B164="",G164="Live",G164="Done"),"",IF(A164&lt;Settings!$B$5,"Overdue",""))</f>
        <v/>
      </c>
      <c r="I164" s="19" t="str">
        <f aca="false">IF(B164="","",IF(COUNTIF(Campaigns!$A$5:$A$24,B164)=0,"ID not found","OK"))</f>
        <v/>
      </c>
    </row>
    <row r="165" customFormat="false" ht="15" hidden="false" customHeight="false" outlineLevel="0" collapsed="false">
      <c r="A165" s="15"/>
      <c r="B165" s="16"/>
      <c r="C165" s="16"/>
      <c r="D165" s="16"/>
      <c r="E165" s="16"/>
      <c r="F165" s="16"/>
      <c r="G165" s="16"/>
      <c r="H165" s="19" t="str">
        <f aca="false">IF(OR(B165="",G165="Live",G165="Done"),"",IF(A165&lt;Settings!$B$5,"Overdue",""))</f>
        <v/>
      </c>
      <c r="I165" s="19" t="str">
        <f aca="false">IF(B165="","",IF(COUNTIF(Campaigns!$A$5:$A$24,B165)=0,"ID not found","OK"))</f>
        <v/>
      </c>
    </row>
    <row r="166" customFormat="false" ht="15" hidden="false" customHeight="false" outlineLevel="0" collapsed="false">
      <c r="A166" s="15"/>
      <c r="B166" s="16"/>
      <c r="C166" s="16"/>
      <c r="D166" s="16"/>
      <c r="E166" s="16"/>
      <c r="F166" s="16"/>
      <c r="G166" s="16"/>
      <c r="H166" s="19" t="str">
        <f aca="false">IF(OR(B166="",G166="Live",G166="Done"),"",IF(A166&lt;Settings!$B$5,"Overdue",""))</f>
        <v/>
      </c>
      <c r="I166" s="19" t="str">
        <f aca="false">IF(B166="","",IF(COUNTIF(Campaigns!$A$5:$A$24,B166)=0,"ID not found","OK"))</f>
        <v/>
      </c>
    </row>
    <row r="167" customFormat="false" ht="15" hidden="false" customHeight="false" outlineLevel="0" collapsed="false">
      <c r="A167" s="15"/>
      <c r="B167" s="16"/>
      <c r="C167" s="16"/>
      <c r="D167" s="16"/>
      <c r="E167" s="16"/>
      <c r="F167" s="16"/>
      <c r="G167" s="16"/>
      <c r="H167" s="19" t="str">
        <f aca="false">IF(OR(B167="",G167="Live",G167="Done"),"",IF(A167&lt;Settings!$B$5,"Overdue",""))</f>
        <v/>
      </c>
      <c r="I167" s="19" t="str">
        <f aca="false">IF(B167="","",IF(COUNTIF(Campaigns!$A$5:$A$24,B167)=0,"ID not found","OK"))</f>
        <v/>
      </c>
    </row>
    <row r="168" customFormat="false" ht="15" hidden="false" customHeight="false" outlineLevel="0" collapsed="false">
      <c r="A168" s="15"/>
      <c r="B168" s="16"/>
      <c r="C168" s="16"/>
      <c r="D168" s="16"/>
      <c r="E168" s="16"/>
      <c r="F168" s="16"/>
      <c r="G168" s="16"/>
      <c r="H168" s="19" t="str">
        <f aca="false">IF(OR(B168="",G168="Live",G168="Done"),"",IF(A168&lt;Settings!$B$5,"Overdue",""))</f>
        <v/>
      </c>
      <c r="I168" s="19" t="str">
        <f aca="false">IF(B168="","",IF(COUNTIF(Campaigns!$A$5:$A$24,B168)=0,"ID not found","OK"))</f>
        <v/>
      </c>
    </row>
    <row r="169" customFormat="false" ht="15" hidden="false" customHeight="false" outlineLevel="0" collapsed="false">
      <c r="A169" s="15"/>
      <c r="B169" s="16"/>
      <c r="C169" s="16"/>
      <c r="D169" s="16"/>
      <c r="E169" s="16"/>
      <c r="F169" s="16"/>
      <c r="G169" s="16"/>
      <c r="H169" s="19" t="str">
        <f aca="false">IF(OR(B169="",G169="Live",G169="Done"),"",IF(A169&lt;Settings!$B$5,"Overdue",""))</f>
        <v/>
      </c>
      <c r="I169" s="19" t="str">
        <f aca="false">IF(B169="","",IF(COUNTIF(Campaigns!$A$5:$A$24,B169)=0,"ID not found","OK"))</f>
        <v/>
      </c>
    </row>
    <row r="170" customFormat="false" ht="15" hidden="false" customHeight="false" outlineLevel="0" collapsed="false">
      <c r="A170" s="15"/>
      <c r="B170" s="16"/>
      <c r="C170" s="16"/>
      <c r="D170" s="16"/>
      <c r="E170" s="16"/>
      <c r="F170" s="16"/>
      <c r="G170" s="16"/>
      <c r="H170" s="19" t="str">
        <f aca="false">IF(OR(B170="",G170="Live",G170="Done"),"",IF(A170&lt;Settings!$B$5,"Overdue",""))</f>
        <v/>
      </c>
      <c r="I170" s="19" t="str">
        <f aca="false">IF(B170="","",IF(COUNTIF(Campaigns!$A$5:$A$24,B170)=0,"ID not found","OK"))</f>
        <v/>
      </c>
    </row>
    <row r="171" customFormat="false" ht="15" hidden="false" customHeight="false" outlineLevel="0" collapsed="false">
      <c r="A171" s="15"/>
      <c r="B171" s="16"/>
      <c r="C171" s="16"/>
      <c r="D171" s="16"/>
      <c r="E171" s="16"/>
      <c r="F171" s="16"/>
      <c r="G171" s="16"/>
      <c r="H171" s="19" t="str">
        <f aca="false">IF(OR(B171="",G171="Live",G171="Done"),"",IF(A171&lt;Settings!$B$5,"Overdue",""))</f>
        <v/>
      </c>
      <c r="I171" s="19" t="str">
        <f aca="false">IF(B171="","",IF(COUNTIF(Campaigns!$A$5:$A$24,B171)=0,"ID not found","OK"))</f>
        <v/>
      </c>
    </row>
    <row r="172" customFormat="false" ht="15" hidden="false" customHeight="false" outlineLevel="0" collapsed="false">
      <c r="A172" s="15"/>
      <c r="B172" s="16"/>
      <c r="C172" s="16"/>
      <c r="D172" s="16"/>
      <c r="E172" s="16"/>
      <c r="F172" s="16"/>
      <c r="G172" s="16"/>
      <c r="H172" s="19" t="str">
        <f aca="false">IF(OR(B172="",G172="Live",G172="Done"),"",IF(A172&lt;Settings!$B$5,"Overdue",""))</f>
        <v/>
      </c>
      <c r="I172" s="19" t="str">
        <f aca="false">IF(B172="","",IF(COUNTIF(Campaigns!$A$5:$A$24,B172)=0,"ID not found","OK"))</f>
        <v/>
      </c>
    </row>
    <row r="173" customFormat="false" ht="15" hidden="false" customHeight="false" outlineLevel="0" collapsed="false">
      <c r="A173" s="15"/>
      <c r="B173" s="16"/>
      <c r="C173" s="16"/>
      <c r="D173" s="16"/>
      <c r="E173" s="16"/>
      <c r="F173" s="16"/>
      <c r="G173" s="16"/>
      <c r="H173" s="19" t="str">
        <f aca="false">IF(OR(B173="",G173="Live",G173="Done"),"",IF(A173&lt;Settings!$B$5,"Overdue",""))</f>
        <v/>
      </c>
      <c r="I173" s="19" t="str">
        <f aca="false">IF(B173="","",IF(COUNTIF(Campaigns!$A$5:$A$24,B173)=0,"ID not found","OK"))</f>
        <v/>
      </c>
    </row>
    <row r="174" customFormat="false" ht="15" hidden="false" customHeight="false" outlineLevel="0" collapsed="false">
      <c r="A174" s="15"/>
      <c r="B174" s="16"/>
      <c r="C174" s="16"/>
      <c r="D174" s="16"/>
      <c r="E174" s="16"/>
      <c r="F174" s="16"/>
      <c r="G174" s="16"/>
      <c r="H174" s="19" t="str">
        <f aca="false">IF(OR(B174="",G174="Live",G174="Done"),"",IF(A174&lt;Settings!$B$5,"Overdue",""))</f>
        <v/>
      </c>
      <c r="I174" s="19" t="str">
        <f aca="false">IF(B174="","",IF(COUNTIF(Campaigns!$A$5:$A$24,B174)=0,"ID not found","OK"))</f>
        <v/>
      </c>
    </row>
    <row r="175" customFormat="false" ht="15" hidden="false" customHeight="false" outlineLevel="0" collapsed="false">
      <c r="A175" s="15"/>
      <c r="B175" s="16"/>
      <c r="C175" s="16"/>
      <c r="D175" s="16"/>
      <c r="E175" s="16"/>
      <c r="F175" s="16"/>
      <c r="G175" s="16"/>
      <c r="H175" s="19" t="str">
        <f aca="false">IF(OR(B175="",G175="Live",G175="Done"),"",IF(A175&lt;Settings!$B$5,"Overdue",""))</f>
        <v/>
      </c>
      <c r="I175" s="19" t="str">
        <f aca="false">IF(B175="","",IF(COUNTIF(Campaigns!$A$5:$A$24,B175)=0,"ID not found","OK"))</f>
        <v/>
      </c>
    </row>
    <row r="176" customFormat="false" ht="15" hidden="false" customHeight="false" outlineLevel="0" collapsed="false">
      <c r="A176" s="15"/>
      <c r="B176" s="16"/>
      <c r="C176" s="16"/>
      <c r="D176" s="16"/>
      <c r="E176" s="16"/>
      <c r="F176" s="16"/>
      <c r="G176" s="16"/>
      <c r="H176" s="19" t="str">
        <f aca="false">IF(OR(B176="",G176="Live",G176="Done"),"",IF(A176&lt;Settings!$B$5,"Overdue",""))</f>
        <v/>
      </c>
      <c r="I176" s="19" t="str">
        <f aca="false">IF(B176="","",IF(COUNTIF(Campaigns!$A$5:$A$24,B176)=0,"ID not found","OK"))</f>
        <v/>
      </c>
    </row>
    <row r="177" customFormat="false" ht="15" hidden="false" customHeight="false" outlineLevel="0" collapsed="false">
      <c r="A177" s="15"/>
      <c r="B177" s="16"/>
      <c r="C177" s="16"/>
      <c r="D177" s="16"/>
      <c r="E177" s="16"/>
      <c r="F177" s="16"/>
      <c r="G177" s="16"/>
      <c r="H177" s="19" t="str">
        <f aca="false">IF(OR(B177="",G177="Live",G177="Done"),"",IF(A177&lt;Settings!$B$5,"Overdue",""))</f>
        <v/>
      </c>
      <c r="I177" s="19" t="str">
        <f aca="false">IF(B177="","",IF(COUNTIF(Campaigns!$A$5:$A$24,B177)=0,"ID not found","OK"))</f>
        <v/>
      </c>
    </row>
    <row r="178" customFormat="false" ht="15" hidden="false" customHeight="false" outlineLevel="0" collapsed="false">
      <c r="A178" s="15"/>
      <c r="B178" s="16"/>
      <c r="C178" s="16"/>
      <c r="D178" s="16"/>
      <c r="E178" s="16"/>
      <c r="F178" s="16"/>
      <c r="G178" s="16"/>
      <c r="H178" s="19" t="str">
        <f aca="false">IF(OR(B178="",G178="Live",G178="Done"),"",IF(A178&lt;Settings!$B$5,"Overdue",""))</f>
        <v/>
      </c>
      <c r="I178" s="19" t="str">
        <f aca="false">IF(B178="","",IF(COUNTIF(Campaigns!$A$5:$A$24,B178)=0,"ID not found","OK"))</f>
        <v/>
      </c>
    </row>
    <row r="179" customFormat="false" ht="15" hidden="false" customHeight="false" outlineLevel="0" collapsed="false">
      <c r="A179" s="15"/>
      <c r="B179" s="16"/>
      <c r="C179" s="16"/>
      <c r="D179" s="16"/>
      <c r="E179" s="16"/>
      <c r="F179" s="16"/>
      <c r="G179" s="16"/>
      <c r="H179" s="19" t="str">
        <f aca="false">IF(OR(B179="",G179="Live",G179="Done"),"",IF(A179&lt;Settings!$B$5,"Overdue",""))</f>
        <v/>
      </c>
      <c r="I179" s="19" t="str">
        <f aca="false">IF(B179="","",IF(COUNTIF(Campaigns!$A$5:$A$24,B179)=0,"ID not found","OK"))</f>
        <v/>
      </c>
    </row>
    <row r="180" customFormat="false" ht="15" hidden="false" customHeight="false" outlineLevel="0" collapsed="false">
      <c r="A180" s="15"/>
      <c r="B180" s="16"/>
      <c r="C180" s="16"/>
      <c r="D180" s="16"/>
      <c r="E180" s="16"/>
      <c r="F180" s="16"/>
      <c r="G180" s="16"/>
      <c r="H180" s="19" t="str">
        <f aca="false">IF(OR(B180="",G180="Live",G180="Done"),"",IF(A180&lt;Settings!$B$5,"Overdue",""))</f>
        <v/>
      </c>
      <c r="I180" s="19" t="str">
        <f aca="false">IF(B180="","",IF(COUNTIF(Campaigns!$A$5:$A$24,B180)=0,"ID not found","OK"))</f>
        <v/>
      </c>
    </row>
    <row r="181" customFormat="false" ht="15" hidden="false" customHeight="false" outlineLevel="0" collapsed="false">
      <c r="A181" s="15"/>
      <c r="B181" s="16"/>
      <c r="C181" s="16"/>
      <c r="D181" s="16"/>
      <c r="E181" s="16"/>
      <c r="F181" s="16"/>
      <c r="G181" s="16"/>
      <c r="H181" s="19" t="str">
        <f aca="false">IF(OR(B181="",G181="Live",G181="Done"),"",IF(A181&lt;Settings!$B$5,"Overdue",""))</f>
        <v/>
      </c>
      <c r="I181" s="19" t="str">
        <f aca="false">IF(B181="","",IF(COUNTIF(Campaigns!$A$5:$A$24,B181)=0,"ID not found","OK"))</f>
        <v/>
      </c>
    </row>
    <row r="182" customFormat="false" ht="15" hidden="false" customHeight="false" outlineLevel="0" collapsed="false">
      <c r="A182" s="15"/>
      <c r="B182" s="16"/>
      <c r="C182" s="16"/>
      <c r="D182" s="16"/>
      <c r="E182" s="16"/>
      <c r="F182" s="16"/>
      <c r="G182" s="16"/>
      <c r="H182" s="19" t="str">
        <f aca="false">IF(OR(B182="",G182="Live",G182="Done"),"",IF(A182&lt;Settings!$B$5,"Overdue",""))</f>
        <v/>
      </c>
      <c r="I182" s="19" t="str">
        <f aca="false">IF(B182="","",IF(COUNTIF(Campaigns!$A$5:$A$24,B182)=0,"ID not found","OK"))</f>
        <v/>
      </c>
    </row>
    <row r="183" customFormat="false" ht="15" hidden="false" customHeight="false" outlineLevel="0" collapsed="false">
      <c r="A183" s="15"/>
      <c r="B183" s="16"/>
      <c r="C183" s="16"/>
      <c r="D183" s="16"/>
      <c r="E183" s="16"/>
      <c r="F183" s="16"/>
      <c r="G183" s="16"/>
      <c r="H183" s="19" t="str">
        <f aca="false">IF(OR(B183="",G183="Live",G183="Done"),"",IF(A183&lt;Settings!$B$5,"Overdue",""))</f>
        <v/>
      </c>
      <c r="I183" s="19" t="str">
        <f aca="false">IF(B183="","",IF(COUNTIF(Campaigns!$A$5:$A$24,B183)=0,"ID not found","OK"))</f>
        <v/>
      </c>
    </row>
    <row r="184" customFormat="false" ht="15" hidden="false" customHeight="false" outlineLevel="0" collapsed="false">
      <c r="A184" s="15"/>
      <c r="B184" s="16"/>
      <c r="C184" s="16"/>
      <c r="D184" s="16"/>
      <c r="E184" s="16"/>
      <c r="F184" s="16"/>
      <c r="G184" s="16"/>
      <c r="H184" s="19" t="str">
        <f aca="false">IF(OR(B184="",G184="Live",G184="Done"),"",IF(A184&lt;Settings!$B$5,"Overdue",""))</f>
        <v/>
      </c>
      <c r="I184" s="19" t="str">
        <f aca="false">IF(B184="","",IF(COUNTIF(Campaigns!$A$5:$A$24,B184)=0,"ID not found","OK"))</f>
        <v/>
      </c>
    </row>
    <row r="185" customFormat="false" ht="15" hidden="false" customHeight="false" outlineLevel="0" collapsed="false">
      <c r="A185" s="15"/>
      <c r="B185" s="16"/>
      <c r="C185" s="16"/>
      <c r="D185" s="16"/>
      <c r="E185" s="16"/>
      <c r="F185" s="16"/>
      <c r="G185" s="16"/>
      <c r="H185" s="19" t="str">
        <f aca="false">IF(OR(B185="",G185="Live",G185="Done"),"",IF(A185&lt;Settings!$B$5,"Overdue",""))</f>
        <v/>
      </c>
      <c r="I185" s="19" t="str">
        <f aca="false">IF(B185="","",IF(COUNTIF(Campaigns!$A$5:$A$24,B185)=0,"ID not found","OK"))</f>
        <v/>
      </c>
    </row>
    <row r="186" customFormat="false" ht="15" hidden="false" customHeight="false" outlineLevel="0" collapsed="false">
      <c r="A186" s="15"/>
      <c r="B186" s="16"/>
      <c r="C186" s="16"/>
      <c r="D186" s="16"/>
      <c r="E186" s="16"/>
      <c r="F186" s="16"/>
      <c r="G186" s="16"/>
      <c r="H186" s="19" t="str">
        <f aca="false">IF(OR(B186="",G186="Live",G186="Done"),"",IF(A186&lt;Settings!$B$5,"Overdue",""))</f>
        <v/>
      </c>
      <c r="I186" s="19" t="str">
        <f aca="false">IF(B186="","",IF(COUNTIF(Campaigns!$A$5:$A$24,B186)=0,"ID not found","OK"))</f>
        <v/>
      </c>
    </row>
    <row r="187" customFormat="false" ht="15" hidden="false" customHeight="false" outlineLevel="0" collapsed="false">
      <c r="A187" s="15"/>
      <c r="B187" s="16"/>
      <c r="C187" s="16"/>
      <c r="D187" s="16"/>
      <c r="E187" s="16"/>
      <c r="F187" s="16"/>
      <c r="G187" s="16"/>
      <c r="H187" s="19" t="str">
        <f aca="false">IF(OR(B187="",G187="Live",G187="Done"),"",IF(A187&lt;Settings!$B$5,"Overdue",""))</f>
        <v/>
      </c>
      <c r="I187" s="19" t="str">
        <f aca="false">IF(B187="","",IF(COUNTIF(Campaigns!$A$5:$A$24,B187)=0,"ID not found","OK"))</f>
        <v/>
      </c>
    </row>
    <row r="188" customFormat="false" ht="15" hidden="false" customHeight="false" outlineLevel="0" collapsed="false">
      <c r="A188" s="15"/>
      <c r="B188" s="16"/>
      <c r="C188" s="16"/>
      <c r="D188" s="16"/>
      <c r="E188" s="16"/>
      <c r="F188" s="16"/>
      <c r="G188" s="16"/>
      <c r="H188" s="19" t="str">
        <f aca="false">IF(OR(B188="",G188="Live",G188="Done"),"",IF(A188&lt;Settings!$B$5,"Overdue",""))</f>
        <v/>
      </c>
      <c r="I188" s="19" t="str">
        <f aca="false">IF(B188="","",IF(COUNTIF(Campaigns!$A$5:$A$24,B188)=0,"ID not found","OK"))</f>
        <v/>
      </c>
    </row>
    <row r="189" customFormat="false" ht="15" hidden="false" customHeight="false" outlineLevel="0" collapsed="false">
      <c r="A189" s="15"/>
      <c r="B189" s="16"/>
      <c r="C189" s="16"/>
      <c r="D189" s="16"/>
      <c r="E189" s="16"/>
      <c r="F189" s="16"/>
      <c r="G189" s="16"/>
      <c r="H189" s="19" t="str">
        <f aca="false">IF(OR(B189="",G189="Live",G189="Done"),"",IF(A189&lt;Settings!$B$5,"Overdue",""))</f>
        <v/>
      </c>
      <c r="I189" s="19" t="str">
        <f aca="false">IF(B189="","",IF(COUNTIF(Campaigns!$A$5:$A$24,B189)=0,"ID not found","OK"))</f>
        <v/>
      </c>
    </row>
    <row r="190" customFormat="false" ht="15" hidden="false" customHeight="false" outlineLevel="0" collapsed="false">
      <c r="A190" s="15"/>
      <c r="B190" s="16"/>
      <c r="C190" s="16"/>
      <c r="D190" s="16"/>
      <c r="E190" s="16"/>
      <c r="F190" s="16"/>
      <c r="G190" s="16"/>
      <c r="H190" s="19" t="str">
        <f aca="false">IF(OR(B190="",G190="Live",G190="Done"),"",IF(A190&lt;Settings!$B$5,"Overdue",""))</f>
        <v/>
      </c>
      <c r="I190" s="19" t="str">
        <f aca="false">IF(B190="","",IF(COUNTIF(Campaigns!$A$5:$A$24,B190)=0,"ID not found","OK"))</f>
        <v/>
      </c>
    </row>
    <row r="191" customFormat="false" ht="15" hidden="false" customHeight="false" outlineLevel="0" collapsed="false">
      <c r="A191" s="15"/>
      <c r="B191" s="16"/>
      <c r="C191" s="16"/>
      <c r="D191" s="16"/>
      <c r="E191" s="16"/>
      <c r="F191" s="16"/>
      <c r="G191" s="16"/>
      <c r="H191" s="19" t="str">
        <f aca="false">IF(OR(B191="",G191="Live",G191="Done"),"",IF(A191&lt;Settings!$B$5,"Overdue",""))</f>
        <v/>
      </c>
      <c r="I191" s="19" t="str">
        <f aca="false">IF(B191="","",IF(COUNTIF(Campaigns!$A$5:$A$24,B191)=0,"ID not found","OK"))</f>
        <v/>
      </c>
    </row>
    <row r="192" customFormat="false" ht="15" hidden="false" customHeight="false" outlineLevel="0" collapsed="false">
      <c r="A192" s="15"/>
      <c r="B192" s="16"/>
      <c r="C192" s="16"/>
      <c r="D192" s="16"/>
      <c r="E192" s="16"/>
      <c r="F192" s="16"/>
      <c r="G192" s="16"/>
      <c r="H192" s="19" t="str">
        <f aca="false">IF(OR(B192="",G192="Live",G192="Done"),"",IF(A192&lt;Settings!$B$5,"Overdue",""))</f>
        <v/>
      </c>
      <c r="I192" s="19" t="str">
        <f aca="false">IF(B192="","",IF(COUNTIF(Campaigns!$A$5:$A$24,B192)=0,"ID not found","OK"))</f>
        <v/>
      </c>
    </row>
    <row r="193" customFormat="false" ht="15" hidden="false" customHeight="false" outlineLevel="0" collapsed="false">
      <c r="A193" s="15"/>
      <c r="B193" s="16"/>
      <c r="C193" s="16"/>
      <c r="D193" s="16"/>
      <c r="E193" s="16"/>
      <c r="F193" s="16"/>
      <c r="G193" s="16"/>
      <c r="H193" s="19" t="str">
        <f aca="false">IF(OR(B193="",G193="Live",G193="Done"),"",IF(A193&lt;Settings!$B$5,"Overdue",""))</f>
        <v/>
      </c>
      <c r="I193" s="19" t="str">
        <f aca="false">IF(B193="","",IF(COUNTIF(Campaigns!$A$5:$A$24,B193)=0,"ID not found","OK"))</f>
        <v/>
      </c>
    </row>
    <row r="194" customFormat="false" ht="15" hidden="false" customHeight="false" outlineLevel="0" collapsed="false">
      <c r="A194" s="15"/>
      <c r="B194" s="16"/>
      <c r="C194" s="16"/>
      <c r="D194" s="16"/>
      <c r="E194" s="16"/>
      <c r="F194" s="16"/>
      <c r="G194" s="16"/>
      <c r="H194" s="19" t="str">
        <f aca="false">IF(OR(B194="",G194="Live",G194="Done"),"",IF(A194&lt;Settings!$B$5,"Overdue",""))</f>
        <v/>
      </c>
      <c r="I194" s="19" t="str">
        <f aca="false">IF(B194="","",IF(COUNTIF(Campaigns!$A$5:$A$24,B194)=0,"ID not found","OK"))</f>
        <v/>
      </c>
    </row>
    <row r="195" customFormat="false" ht="15" hidden="false" customHeight="false" outlineLevel="0" collapsed="false">
      <c r="A195" s="15"/>
      <c r="B195" s="16"/>
      <c r="C195" s="16"/>
      <c r="D195" s="16"/>
      <c r="E195" s="16"/>
      <c r="F195" s="16"/>
      <c r="G195" s="16"/>
      <c r="H195" s="19" t="str">
        <f aca="false">IF(OR(B195="",G195="Live",G195="Done"),"",IF(A195&lt;Settings!$B$5,"Overdue",""))</f>
        <v/>
      </c>
      <c r="I195" s="19" t="str">
        <f aca="false">IF(B195="","",IF(COUNTIF(Campaigns!$A$5:$A$24,B195)=0,"ID not found","OK"))</f>
        <v/>
      </c>
    </row>
    <row r="196" customFormat="false" ht="15" hidden="false" customHeight="false" outlineLevel="0" collapsed="false">
      <c r="A196" s="15"/>
      <c r="B196" s="16"/>
      <c r="C196" s="16"/>
      <c r="D196" s="16"/>
      <c r="E196" s="16"/>
      <c r="F196" s="16"/>
      <c r="G196" s="16"/>
      <c r="H196" s="19" t="str">
        <f aca="false">IF(OR(B196="",G196="Live",G196="Done"),"",IF(A196&lt;Settings!$B$5,"Overdue",""))</f>
        <v/>
      </c>
      <c r="I196" s="19" t="str">
        <f aca="false">IF(B196="","",IF(COUNTIF(Campaigns!$A$5:$A$24,B196)=0,"ID not found","OK"))</f>
        <v/>
      </c>
    </row>
    <row r="197" customFormat="false" ht="15" hidden="false" customHeight="false" outlineLevel="0" collapsed="false">
      <c r="A197" s="15"/>
      <c r="B197" s="16"/>
      <c r="C197" s="16"/>
      <c r="D197" s="16"/>
      <c r="E197" s="16"/>
      <c r="F197" s="16"/>
      <c r="G197" s="16"/>
      <c r="H197" s="19" t="str">
        <f aca="false">IF(OR(B197="",G197="Live",G197="Done"),"",IF(A197&lt;Settings!$B$5,"Overdue",""))</f>
        <v/>
      </c>
      <c r="I197" s="19" t="str">
        <f aca="false">IF(B197="","",IF(COUNTIF(Campaigns!$A$5:$A$24,B197)=0,"ID not found","OK"))</f>
        <v/>
      </c>
    </row>
    <row r="198" customFormat="false" ht="15" hidden="false" customHeight="false" outlineLevel="0" collapsed="false">
      <c r="A198" s="15"/>
      <c r="B198" s="16"/>
      <c r="C198" s="16"/>
      <c r="D198" s="16"/>
      <c r="E198" s="16"/>
      <c r="F198" s="16"/>
      <c r="G198" s="16"/>
      <c r="H198" s="19" t="str">
        <f aca="false">IF(OR(B198="",G198="Live",G198="Done"),"",IF(A198&lt;Settings!$B$5,"Overdue",""))</f>
        <v/>
      </c>
      <c r="I198" s="19" t="str">
        <f aca="false">IF(B198="","",IF(COUNTIF(Campaigns!$A$5:$A$24,B198)=0,"ID not found","OK"))</f>
        <v/>
      </c>
    </row>
    <row r="199" customFormat="false" ht="15" hidden="false" customHeight="false" outlineLevel="0" collapsed="false">
      <c r="A199" s="15"/>
      <c r="B199" s="16"/>
      <c r="C199" s="16"/>
      <c r="D199" s="16"/>
      <c r="E199" s="16"/>
      <c r="F199" s="16"/>
      <c r="G199" s="16"/>
      <c r="H199" s="19" t="str">
        <f aca="false">IF(OR(B199="",G199="Live",G199="Done"),"",IF(A199&lt;Settings!$B$5,"Overdue",""))</f>
        <v/>
      </c>
      <c r="I199" s="19" t="str">
        <f aca="false">IF(B199="","",IF(COUNTIF(Campaigns!$A$5:$A$24,B199)=0,"ID not found","OK"))</f>
        <v/>
      </c>
    </row>
    <row r="200" customFormat="false" ht="15" hidden="false" customHeight="false" outlineLevel="0" collapsed="false">
      <c r="A200" s="15"/>
      <c r="B200" s="16"/>
      <c r="C200" s="16"/>
      <c r="D200" s="16"/>
      <c r="E200" s="16"/>
      <c r="F200" s="16"/>
      <c r="G200" s="16"/>
      <c r="H200" s="19" t="str">
        <f aca="false">IF(OR(B200="",G200="Live",G200="Done"),"",IF(A200&lt;Settings!$B$5,"Overdue",""))</f>
        <v/>
      </c>
      <c r="I200" s="19" t="str">
        <f aca="false">IF(B200="","",IF(COUNTIF(Campaigns!$A$5:$A$24,B200)=0,"ID not found","OK"))</f>
        <v/>
      </c>
    </row>
    <row r="201" customFormat="false" ht="15" hidden="false" customHeight="false" outlineLevel="0" collapsed="false">
      <c r="A201" s="15"/>
      <c r="B201" s="16"/>
      <c r="C201" s="16"/>
      <c r="D201" s="16"/>
      <c r="E201" s="16"/>
      <c r="F201" s="16"/>
      <c r="G201" s="16"/>
      <c r="H201" s="19" t="str">
        <f aca="false">IF(OR(B201="",G201="Live",G201="Done"),"",IF(A201&lt;Settings!$B$5,"Overdue",""))</f>
        <v/>
      </c>
      <c r="I201" s="19" t="str">
        <f aca="false">IF(B201="","",IF(COUNTIF(Campaigns!$A$5:$A$24,B201)=0,"ID not found","OK"))</f>
        <v/>
      </c>
    </row>
    <row r="202" customFormat="false" ht="15" hidden="false" customHeight="false" outlineLevel="0" collapsed="false">
      <c r="A202" s="15"/>
      <c r="B202" s="16"/>
      <c r="C202" s="16"/>
      <c r="D202" s="16"/>
      <c r="E202" s="16"/>
      <c r="F202" s="16"/>
      <c r="G202" s="16"/>
      <c r="H202" s="19" t="str">
        <f aca="false">IF(OR(B202="",G202="Live",G202="Done"),"",IF(A202&lt;Settings!$B$5,"Overdue",""))</f>
        <v/>
      </c>
      <c r="I202" s="19" t="str">
        <f aca="false">IF(B202="","",IF(COUNTIF(Campaigns!$A$5:$A$24,B202)=0,"ID not found","OK"))</f>
        <v/>
      </c>
    </row>
    <row r="203" customFormat="false" ht="15" hidden="false" customHeight="false" outlineLevel="0" collapsed="false">
      <c r="A203" s="15"/>
      <c r="B203" s="16"/>
      <c r="C203" s="16"/>
      <c r="D203" s="16"/>
      <c r="E203" s="16"/>
      <c r="F203" s="16"/>
      <c r="G203" s="16"/>
      <c r="H203" s="19" t="str">
        <f aca="false">IF(OR(B203="",G203="Live",G203="Done"),"",IF(A203&lt;Settings!$B$5,"Overdue",""))</f>
        <v/>
      </c>
      <c r="I203" s="19" t="str">
        <f aca="false">IF(B203="","",IF(COUNTIF(Campaigns!$A$5:$A$24,B203)=0,"ID not found","OK"))</f>
        <v/>
      </c>
    </row>
    <row r="204" customFormat="false" ht="15" hidden="false" customHeight="false" outlineLevel="0" collapsed="false">
      <c r="A204" s="15"/>
      <c r="B204" s="16"/>
      <c r="C204" s="16"/>
      <c r="D204" s="16"/>
      <c r="E204" s="16"/>
      <c r="F204" s="16"/>
      <c r="G204" s="16"/>
      <c r="H204" s="19" t="str">
        <f aca="false">IF(OR(B204="",G204="Live",G204="Done"),"",IF(A204&lt;Settings!$B$5,"Overdue",""))</f>
        <v/>
      </c>
      <c r="I204" s="19" t="str">
        <f aca="false">IF(B204="","",IF(COUNTIF(Campaigns!$A$5:$A$24,B204)=0,"ID not found","OK"))</f>
        <v/>
      </c>
    </row>
    <row r="205" customFormat="false" ht="15" hidden="false" customHeight="false" outlineLevel="0" collapsed="false">
      <c r="A205" s="15"/>
      <c r="B205" s="16"/>
      <c r="C205" s="16"/>
      <c r="D205" s="16"/>
      <c r="E205" s="16"/>
      <c r="F205" s="16"/>
      <c r="G205" s="16"/>
      <c r="H205" s="19" t="str">
        <f aca="false">IF(OR(B205="",G205="Live",G205="Done"),"",IF(A205&lt;Settings!$B$5,"Overdue",""))</f>
        <v/>
      </c>
      <c r="I205" s="19" t="str">
        <f aca="false">IF(B205="","",IF(COUNTIF(Campaigns!$A$5:$A$24,B205)=0,"ID not found","OK"))</f>
        <v/>
      </c>
    </row>
    <row r="206" customFormat="false" ht="15" hidden="false" customHeight="false" outlineLevel="0" collapsed="false">
      <c r="A206" s="15"/>
      <c r="B206" s="16"/>
      <c r="C206" s="16"/>
      <c r="D206" s="16"/>
      <c r="E206" s="16"/>
      <c r="F206" s="16"/>
      <c r="G206" s="16"/>
      <c r="H206" s="19" t="str">
        <f aca="false">IF(OR(B206="",G206="Live",G206="Done"),"",IF(A206&lt;Settings!$B$5,"Overdue",""))</f>
        <v/>
      </c>
      <c r="I206" s="19" t="str">
        <f aca="false">IF(B206="","",IF(COUNTIF(Campaigns!$A$5:$A$24,B206)=0,"ID not found","OK"))</f>
        <v/>
      </c>
    </row>
    <row r="207" customFormat="false" ht="15" hidden="false" customHeight="false" outlineLevel="0" collapsed="false">
      <c r="A207" s="15"/>
      <c r="B207" s="16"/>
      <c r="C207" s="16"/>
      <c r="D207" s="16"/>
      <c r="E207" s="16"/>
      <c r="F207" s="16"/>
      <c r="G207" s="16"/>
      <c r="H207" s="19" t="str">
        <f aca="false">IF(OR(B207="",G207="Live",G207="Done"),"",IF(A207&lt;Settings!$B$5,"Overdue",""))</f>
        <v/>
      </c>
      <c r="I207" s="19" t="str">
        <f aca="false">IF(B207="","",IF(COUNTIF(Campaigns!$A$5:$A$24,B207)=0,"ID not found","OK"))</f>
        <v/>
      </c>
    </row>
    <row r="208" customFormat="false" ht="15" hidden="false" customHeight="false" outlineLevel="0" collapsed="false">
      <c r="A208" s="15"/>
      <c r="B208" s="16"/>
      <c r="C208" s="16"/>
      <c r="D208" s="16"/>
      <c r="E208" s="16"/>
      <c r="F208" s="16"/>
      <c r="G208" s="16"/>
      <c r="H208" s="19" t="str">
        <f aca="false">IF(OR(B208="",G208="Live",G208="Done"),"",IF(A208&lt;Settings!$B$5,"Overdue",""))</f>
        <v/>
      </c>
      <c r="I208" s="19" t="str">
        <f aca="false">IF(B208="","",IF(COUNTIF(Campaigns!$A$5:$A$24,B208)=0,"ID not found","OK"))</f>
        <v/>
      </c>
    </row>
    <row r="209" customFormat="false" ht="15" hidden="false" customHeight="false" outlineLevel="0" collapsed="false">
      <c r="A209" s="15"/>
      <c r="B209" s="16"/>
      <c r="C209" s="16"/>
      <c r="D209" s="16"/>
      <c r="E209" s="16"/>
      <c r="F209" s="16"/>
      <c r="G209" s="16"/>
      <c r="H209" s="19" t="str">
        <f aca="false">IF(OR(B209="",G209="Live",G209="Done"),"",IF(A209&lt;Settings!$B$5,"Overdue",""))</f>
        <v/>
      </c>
      <c r="I209" s="19" t="str">
        <f aca="false">IF(B209="","",IF(COUNTIF(Campaigns!$A$5:$A$24,B209)=0,"ID not found","OK"))</f>
        <v/>
      </c>
    </row>
    <row r="210" customFormat="false" ht="15" hidden="false" customHeight="false" outlineLevel="0" collapsed="false">
      <c r="A210" s="15"/>
      <c r="B210" s="16"/>
      <c r="C210" s="16"/>
      <c r="D210" s="16"/>
      <c r="E210" s="16"/>
      <c r="F210" s="16"/>
      <c r="G210" s="16"/>
      <c r="H210" s="19" t="str">
        <f aca="false">IF(OR(B210="",G210="Live",G210="Done"),"",IF(A210&lt;Settings!$B$5,"Overdue",""))</f>
        <v/>
      </c>
      <c r="I210" s="19" t="str">
        <f aca="false">IF(B210="","",IF(COUNTIF(Campaigns!$A$5:$A$24,B210)=0,"ID not found","OK"))</f>
        <v/>
      </c>
    </row>
    <row r="211" customFormat="false" ht="15" hidden="false" customHeight="false" outlineLevel="0" collapsed="false">
      <c r="A211" s="15"/>
      <c r="B211" s="16"/>
      <c r="C211" s="16"/>
      <c r="D211" s="16"/>
      <c r="E211" s="16"/>
      <c r="F211" s="16"/>
      <c r="G211" s="16"/>
      <c r="H211" s="19" t="str">
        <f aca="false">IF(OR(B211="",G211="Live",G211="Done"),"",IF(A211&lt;Settings!$B$5,"Overdue",""))</f>
        <v/>
      </c>
      <c r="I211" s="19" t="str">
        <f aca="false">IF(B211="","",IF(COUNTIF(Campaigns!$A$5:$A$24,B211)=0,"ID not found","OK"))</f>
        <v/>
      </c>
    </row>
    <row r="212" customFormat="false" ht="15" hidden="false" customHeight="false" outlineLevel="0" collapsed="false">
      <c r="A212" s="15"/>
      <c r="B212" s="16"/>
      <c r="C212" s="16"/>
      <c r="D212" s="16"/>
      <c r="E212" s="16"/>
      <c r="F212" s="16"/>
      <c r="G212" s="16"/>
      <c r="H212" s="19" t="str">
        <f aca="false">IF(OR(B212="",G212="Live",G212="Done"),"",IF(A212&lt;Settings!$B$5,"Overdue",""))</f>
        <v/>
      </c>
      <c r="I212" s="19" t="str">
        <f aca="false">IF(B212="","",IF(COUNTIF(Campaigns!$A$5:$A$24,B212)=0,"ID not found","OK"))</f>
        <v/>
      </c>
    </row>
    <row r="213" customFormat="false" ht="15" hidden="false" customHeight="false" outlineLevel="0" collapsed="false">
      <c r="A213" s="15"/>
      <c r="B213" s="16"/>
      <c r="C213" s="16"/>
      <c r="D213" s="16"/>
      <c r="E213" s="16"/>
      <c r="F213" s="16"/>
      <c r="G213" s="16"/>
      <c r="H213" s="19" t="str">
        <f aca="false">IF(OR(B213="",G213="Live",G213="Done"),"",IF(A213&lt;Settings!$B$5,"Overdue",""))</f>
        <v/>
      </c>
      <c r="I213" s="19" t="str">
        <f aca="false">IF(B213="","",IF(COUNTIF(Campaigns!$A$5:$A$24,B213)=0,"ID not found","OK"))</f>
        <v/>
      </c>
    </row>
    <row r="214" customFormat="false" ht="15" hidden="false" customHeight="false" outlineLevel="0" collapsed="false">
      <c r="A214" s="15"/>
      <c r="B214" s="16"/>
      <c r="C214" s="16"/>
      <c r="D214" s="16"/>
      <c r="E214" s="16"/>
      <c r="F214" s="16"/>
      <c r="G214" s="16"/>
      <c r="H214" s="19" t="str">
        <f aca="false">IF(OR(B214="",G214="Live",G214="Done"),"",IF(A214&lt;Settings!$B$5,"Overdue",""))</f>
        <v/>
      </c>
      <c r="I214" s="19" t="str">
        <f aca="false">IF(B214="","",IF(COUNTIF(Campaigns!$A$5:$A$24,B214)=0,"ID not found","OK"))</f>
        <v/>
      </c>
    </row>
    <row r="215" customFormat="false" ht="15" hidden="false" customHeight="false" outlineLevel="0" collapsed="false">
      <c r="A215" s="15"/>
      <c r="B215" s="16"/>
      <c r="C215" s="16"/>
      <c r="D215" s="16"/>
      <c r="E215" s="16"/>
      <c r="F215" s="16"/>
      <c r="G215" s="16"/>
      <c r="H215" s="19" t="str">
        <f aca="false">IF(OR(B215="",G215="Live",G215="Done"),"",IF(A215&lt;Settings!$B$5,"Overdue",""))</f>
        <v/>
      </c>
      <c r="I215" s="19" t="str">
        <f aca="false">IF(B215="","",IF(COUNTIF(Campaigns!$A$5:$A$24,B215)=0,"ID not found","OK"))</f>
        <v/>
      </c>
    </row>
    <row r="216" customFormat="false" ht="15" hidden="false" customHeight="false" outlineLevel="0" collapsed="false">
      <c r="A216" s="15"/>
      <c r="B216" s="16"/>
      <c r="C216" s="16"/>
      <c r="D216" s="16"/>
      <c r="E216" s="16"/>
      <c r="F216" s="16"/>
      <c r="G216" s="16"/>
      <c r="H216" s="19" t="str">
        <f aca="false">IF(OR(B216="",G216="Live",G216="Done"),"",IF(A216&lt;Settings!$B$5,"Overdue",""))</f>
        <v/>
      </c>
      <c r="I216" s="19" t="str">
        <f aca="false">IF(B216="","",IF(COUNTIF(Campaigns!$A$5:$A$24,B216)=0,"ID not found","OK"))</f>
        <v/>
      </c>
    </row>
    <row r="217" customFormat="false" ht="15" hidden="false" customHeight="false" outlineLevel="0" collapsed="false">
      <c r="A217" s="15"/>
      <c r="B217" s="16"/>
      <c r="C217" s="16"/>
      <c r="D217" s="16"/>
      <c r="E217" s="16"/>
      <c r="F217" s="16"/>
      <c r="G217" s="16"/>
      <c r="H217" s="19" t="str">
        <f aca="false">IF(OR(B217="",G217="Live",G217="Done"),"",IF(A217&lt;Settings!$B$5,"Overdue",""))</f>
        <v/>
      </c>
      <c r="I217" s="19" t="str">
        <f aca="false">IF(B217="","",IF(COUNTIF(Campaigns!$A$5:$A$24,B217)=0,"ID not found","OK"))</f>
        <v/>
      </c>
    </row>
    <row r="218" customFormat="false" ht="15" hidden="false" customHeight="false" outlineLevel="0" collapsed="false">
      <c r="A218" s="15"/>
      <c r="B218" s="16"/>
      <c r="C218" s="16"/>
      <c r="D218" s="16"/>
      <c r="E218" s="16"/>
      <c r="F218" s="16"/>
      <c r="G218" s="16"/>
      <c r="H218" s="19" t="str">
        <f aca="false">IF(OR(B218="",G218="Live",G218="Done"),"",IF(A218&lt;Settings!$B$5,"Overdue",""))</f>
        <v/>
      </c>
      <c r="I218" s="19" t="str">
        <f aca="false">IF(B218="","",IF(COUNTIF(Campaigns!$A$5:$A$24,B218)=0,"ID not found","OK"))</f>
        <v/>
      </c>
    </row>
    <row r="219" customFormat="false" ht="15" hidden="false" customHeight="false" outlineLevel="0" collapsed="false">
      <c r="A219" s="15"/>
      <c r="B219" s="16"/>
      <c r="C219" s="16"/>
      <c r="D219" s="16"/>
      <c r="E219" s="16"/>
      <c r="F219" s="16"/>
      <c r="G219" s="16"/>
      <c r="H219" s="19" t="str">
        <f aca="false">IF(OR(B219="",G219="Live",G219="Done"),"",IF(A219&lt;Settings!$B$5,"Overdue",""))</f>
        <v/>
      </c>
      <c r="I219" s="19" t="str">
        <f aca="false">IF(B219="","",IF(COUNTIF(Campaigns!$A$5:$A$24,B219)=0,"ID not found","OK"))</f>
        <v/>
      </c>
    </row>
    <row r="220" customFormat="false" ht="15" hidden="false" customHeight="false" outlineLevel="0" collapsed="false">
      <c r="A220" s="15"/>
      <c r="B220" s="16"/>
      <c r="C220" s="16"/>
      <c r="D220" s="16"/>
      <c r="E220" s="16"/>
      <c r="F220" s="16"/>
      <c r="G220" s="16"/>
      <c r="H220" s="19" t="str">
        <f aca="false">IF(OR(B220="",G220="Live",G220="Done"),"",IF(A220&lt;Settings!$B$5,"Overdue",""))</f>
        <v/>
      </c>
      <c r="I220" s="19" t="str">
        <f aca="false">IF(B220="","",IF(COUNTIF(Campaigns!$A$5:$A$24,B220)=0,"ID not found","OK"))</f>
        <v/>
      </c>
    </row>
    <row r="221" customFormat="false" ht="15" hidden="false" customHeight="false" outlineLevel="0" collapsed="false">
      <c r="A221" s="15"/>
      <c r="B221" s="16"/>
      <c r="C221" s="16"/>
      <c r="D221" s="16"/>
      <c r="E221" s="16"/>
      <c r="F221" s="16"/>
      <c r="G221" s="16"/>
      <c r="H221" s="19" t="str">
        <f aca="false">IF(OR(B221="",G221="Live",G221="Done"),"",IF(A221&lt;Settings!$B$5,"Overdue",""))</f>
        <v/>
      </c>
      <c r="I221" s="19" t="str">
        <f aca="false">IF(B221="","",IF(COUNTIF(Campaigns!$A$5:$A$24,B221)=0,"ID not found","OK"))</f>
        <v/>
      </c>
    </row>
    <row r="222" customFormat="false" ht="15" hidden="false" customHeight="false" outlineLevel="0" collapsed="false">
      <c r="A222" s="15"/>
      <c r="B222" s="16"/>
      <c r="C222" s="16"/>
      <c r="D222" s="16"/>
      <c r="E222" s="16"/>
      <c r="F222" s="16"/>
      <c r="G222" s="16"/>
      <c r="H222" s="19" t="str">
        <f aca="false">IF(OR(B222="",G222="Live",G222="Done"),"",IF(A222&lt;Settings!$B$5,"Overdue",""))</f>
        <v/>
      </c>
      <c r="I222" s="19" t="str">
        <f aca="false">IF(B222="","",IF(COUNTIF(Campaigns!$A$5:$A$24,B222)=0,"ID not found","OK"))</f>
        <v/>
      </c>
    </row>
    <row r="223" customFormat="false" ht="15" hidden="false" customHeight="false" outlineLevel="0" collapsed="false">
      <c r="A223" s="15"/>
      <c r="B223" s="16"/>
      <c r="C223" s="16"/>
      <c r="D223" s="16"/>
      <c r="E223" s="16"/>
      <c r="F223" s="16"/>
      <c r="G223" s="16"/>
      <c r="H223" s="19" t="str">
        <f aca="false">IF(OR(B223="",G223="Live",G223="Done"),"",IF(A223&lt;Settings!$B$5,"Overdue",""))</f>
        <v/>
      </c>
      <c r="I223" s="19" t="str">
        <f aca="false">IF(B223="","",IF(COUNTIF(Campaigns!$A$5:$A$24,B223)=0,"ID not found","OK"))</f>
        <v/>
      </c>
    </row>
    <row r="224" customFormat="false" ht="15" hidden="false" customHeight="false" outlineLevel="0" collapsed="false">
      <c r="A224" s="15"/>
      <c r="B224" s="16"/>
      <c r="C224" s="16"/>
      <c r="D224" s="16"/>
      <c r="E224" s="16"/>
      <c r="F224" s="16"/>
      <c r="G224" s="16"/>
      <c r="H224" s="19" t="str">
        <f aca="false">IF(OR(B224="",G224="Live",G224="Done"),"",IF(A224&lt;Settings!$B$5,"Overdue",""))</f>
        <v/>
      </c>
      <c r="I224" s="19" t="str">
        <f aca="false">IF(B224="","",IF(COUNTIF(Campaigns!$A$5:$A$24,B224)=0,"ID not found","OK"))</f>
        <v/>
      </c>
    </row>
    <row r="225" customFormat="false" ht="15" hidden="false" customHeight="false" outlineLevel="0" collapsed="false">
      <c r="A225" s="15"/>
      <c r="B225" s="16"/>
      <c r="C225" s="16"/>
      <c r="D225" s="16"/>
      <c r="E225" s="16"/>
      <c r="F225" s="16"/>
      <c r="G225" s="16"/>
      <c r="H225" s="19" t="str">
        <f aca="false">IF(OR(B225="",G225="Live",G225="Done"),"",IF(A225&lt;Settings!$B$5,"Overdue",""))</f>
        <v/>
      </c>
      <c r="I225" s="19" t="str">
        <f aca="false">IF(B225="","",IF(COUNTIF(Campaigns!$A$5:$A$24,B225)=0,"ID not found","OK"))</f>
        <v/>
      </c>
    </row>
    <row r="226" customFormat="false" ht="15" hidden="false" customHeight="false" outlineLevel="0" collapsed="false">
      <c r="A226" s="15"/>
      <c r="B226" s="16"/>
      <c r="C226" s="16"/>
      <c r="D226" s="16"/>
      <c r="E226" s="16"/>
      <c r="F226" s="16"/>
      <c r="G226" s="16"/>
      <c r="H226" s="19" t="str">
        <f aca="false">IF(OR(B226="",G226="Live",G226="Done"),"",IF(A226&lt;Settings!$B$5,"Overdue",""))</f>
        <v/>
      </c>
      <c r="I226" s="19" t="str">
        <f aca="false">IF(B226="","",IF(COUNTIF(Campaigns!$A$5:$A$24,B226)=0,"ID not found","OK"))</f>
        <v/>
      </c>
    </row>
    <row r="227" customFormat="false" ht="15" hidden="false" customHeight="false" outlineLevel="0" collapsed="false">
      <c r="A227" s="15"/>
      <c r="B227" s="16"/>
      <c r="C227" s="16"/>
      <c r="D227" s="16"/>
      <c r="E227" s="16"/>
      <c r="F227" s="16"/>
      <c r="G227" s="16"/>
      <c r="H227" s="19" t="str">
        <f aca="false">IF(OR(B227="",G227="Live",G227="Done"),"",IF(A227&lt;Settings!$B$5,"Overdue",""))</f>
        <v/>
      </c>
      <c r="I227" s="19" t="str">
        <f aca="false">IF(B227="","",IF(COUNTIF(Campaigns!$A$5:$A$24,B227)=0,"ID not found","OK"))</f>
        <v/>
      </c>
    </row>
    <row r="228" customFormat="false" ht="15" hidden="false" customHeight="false" outlineLevel="0" collapsed="false">
      <c r="A228" s="15"/>
      <c r="B228" s="16"/>
      <c r="C228" s="16"/>
      <c r="D228" s="16"/>
      <c r="E228" s="16"/>
      <c r="F228" s="16"/>
      <c r="G228" s="16"/>
      <c r="H228" s="19" t="str">
        <f aca="false">IF(OR(B228="",G228="Live",G228="Done"),"",IF(A228&lt;Settings!$B$5,"Overdue",""))</f>
        <v/>
      </c>
      <c r="I228" s="19" t="str">
        <f aca="false">IF(B228="","",IF(COUNTIF(Campaigns!$A$5:$A$24,B228)=0,"ID not found","OK"))</f>
        <v/>
      </c>
    </row>
    <row r="229" customFormat="false" ht="15" hidden="false" customHeight="false" outlineLevel="0" collapsed="false">
      <c r="A229" s="15"/>
      <c r="B229" s="16"/>
      <c r="C229" s="16"/>
      <c r="D229" s="16"/>
      <c r="E229" s="16"/>
      <c r="F229" s="16"/>
      <c r="G229" s="16"/>
      <c r="H229" s="19" t="str">
        <f aca="false">IF(OR(B229="",G229="Live",G229="Done"),"",IF(A229&lt;Settings!$B$5,"Overdue",""))</f>
        <v/>
      </c>
      <c r="I229" s="19" t="str">
        <f aca="false">IF(B229="","",IF(COUNTIF(Campaigns!$A$5:$A$24,B229)=0,"ID not found","OK"))</f>
        <v/>
      </c>
    </row>
    <row r="230" customFormat="false" ht="15" hidden="false" customHeight="false" outlineLevel="0" collapsed="false">
      <c r="A230" s="15"/>
      <c r="B230" s="16"/>
      <c r="C230" s="16"/>
      <c r="D230" s="16"/>
      <c r="E230" s="16"/>
      <c r="F230" s="16"/>
      <c r="G230" s="16"/>
      <c r="H230" s="19" t="str">
        <f aca="false">IF(OR(B230="",G230="Live",G230="Done"),"",IF(A230&lt;Settings!$B$5,"Overdue",""))</f>
        <v/>
      </c>
      <c r="I230" s="19" t="str">
        <f aca="false">IF(B230="","",IF(COUNTIF(Campaigns!$A$5:$A$24,B230)=0,"ID not found","OK"))</f>
        <v/>
      </c>
    </row>
    <row r="231" customFormat="false" ht="15" hidden="false" customHeight="false" outlineLevel="0" collapsed="false">
      <c r="A231" s="15"/>
      <c r="B231" s="16"/>
      <c r="C231" s="16"/>
      <c r="D231" s="16"/>
      <c r="E231" s="16"/>
      <c r="F231" s="16"/>
      <c r="G231" s="16"/>
      <c r="H231" s="19" t="str">
        <f aca="false">IF(OR(B231="",G231="Live",G231="Done"),"",IF(A231&lt;Settings!$B$5,"Overdue",""))</f>
        <v/>
      </c>
      <c r="I231" s="19" t="str">
        <f aca="false">IF(B231="","",IF(COUNTIF(Campaigns!$A$5:$A$24,B231)=0,"ID not found","OK"))</f>
        <v/>
      </c>
    </row>
    <row r="232" customFormat="false" ht="15" hidden="false" customHeight="false" outlineLevel="0" collapsed="false">
      <c r="A232" s="15"/>
      <c r="B232" s="16"/>
      <c r="C232" s="16"/>
      <c r="D232" s="16"/>
      <c r="E232" s="16"/>
      <c r="F232" s="16"/>
      <c r="G232" s="16"/>
      <c r="H232" s="19" t="str">
        <f aca="false">IF(OR(B232="",G232="Live",G232="Done"),"",IF(A232&lt;Settings!$B$5,"Overdue",""))</f>
        <v/>
      </c>
      <c r="I232" s="19" t="str">
        <f aca="false">IF(B232="","",IF(COUNTIF(Campaigns!$A$5:$A$24,B232)=0,"ID not found","OK"))</f>
        <v/>
      </c>
    </row>
    <row r="233" customFormat="false" ht="15" hidden="false" customHeight="false" outlineLevel="0" collapsed="false">
      <c r="A233" s="15"/>
      <c r="B233" s="16"/>
      <c r="C233" s="16"/>
      <c r="D233" s="16"/>
      <c r="E233" s="16"/>
      <c r="F233" s="16"/>
      <c r="G233" s="16"/>
      <c r="H233" s="19" t="str">
        <f aca="false">IF(OR(B233="",G233="Live",G233="Done"),"",IF(A233&lt;Settings!$B$5,"Overdue",""))</f>
        <v/>
      </c>
      <c r="I233" s="19" t="str">
        <f aca="false">IF(B233="","",IF(COUNTIF(Campaigns!$A$5:$A$24,B233)=0,"ID not found","OK"))</f>
        <v/>
      </c>
    </row>
    <row r="234" customFormat="false" ht="15" hidden="false" customHeight="false" outlineLevel="0" collapsed="false">
      <c r="A234" s="15"/>
      <c r="B234" s="16"/>
      <c r="C234" s="16"/>
      <c r="D234" s="16"/>
      <c r="E234" s="16"/>
      <c r="F234" s="16"/>
      <c r="G234" s="16"/>
      <c r="H234" s="19" t="str">
        <f aca="false">IF(OR(B234="",G234="Live",G234="Done"),"",IF(A234&lt;Settings!$B$5,"Overdue",""))</f>
        <v/>
      </c>
      <c r="I234" s="19" t="str">
        <f aca="false">IF(B234="","",IF(COUNTIF(Campaigns!$A$5:$A$24,B234)=0,"ID not found","OK"))</f>
        <v/>
      </c>
    </row>
    <row r="235" customFormat="false" ht="15" hidden="false" customHeight="false" outlineLevel="0" collapsed="false">
      <c r="A235" s="15"/>
      <c r="B235" s="16"/>
      <c r="C235" s="16"/>
      <c r="D235" s="16"/>
      <c r="E235" s="16"/>
      <c r="F235" s="16"/>
      <c r="G235" s="16"/>
      <c r="H235" s="19" t="str">
        <f aca="false">IF(OR(B235="",G235="Live",G235="Done"),"",IF(A235&lt;Settings!$B$5,"Overdue",""))</f>
        <v/>
      </c>
      <c r="I235" s="19" t="str">
        <f aca="false">IF(B235="","",IF(COUNTIF(Campaigns!$A$5:$A$24,B235)=0,"ID not found","OK"))</f>
        <v/>
      </c>
    </row>
    <row r="236" customFormat="false" ht="15" hidden="false" customHeight="false" outlineLevel="0" collapsed="false">
      <c r="A236" s="15"/>
      <c r="B236" s="16"/>
      <c r="C236" s="16"/>
      <c r="D236" s="16"/>
      <c r="E236" s="16"/>
      <c r="F236" s="16"/>
      <c r="G236" s="16"/>
      <c r="H236" s="19" t="str">
        <f aca="false">IF(OR(B236="",G236="Live",G236="Done"),"",IF(A236&lt;Settings!$B$5,"Overdue",""))</f>
        <v/>
      </c>
      <c r="I236" s="19" t="str">
        <f aca="false">IF(B236="","",IF(COUNTIF(Campaigns!$A$5:$A$24,B236)=0,"ID not found","OK"))</f>
        <v/>
      </c>
    </row>
    <row r="237" customFormat="false" ht="15" hidden="false" customHeight="false" outlineLevel="0" collapsed="false">
      <c r="A237" s="15"/>
      <c r="B237" s="16"/>
      <c r="C237" s="16"/>
      <c r="D237" s="16"/>
      <c r="E237" s="16"/>
      <c r="F237" s="16"/>
      <c r="G237" s="16"/>
      <c r="H237" s="19" t="str">
        <f aca="false">IF(OR(B237="",G237="Live",G237="Done"),"",IF(A237&lt;Settings!$B$5,"Overdue",""))</f>
        <v/>
      </c>
      <c r="I237" s="19" t="str">
        <f aca="false">IF(B237="","",IF(COUNTIF(Campaigns!$A$5:$A$24,B237)=0,"ID not found","OK"))</f>
        <v/>
      </c>
    </row>
    <row r="238" customFormat="false" ht="15" hidden="false" customHeight="false" outlineLevel="0" collapsed="false">
      <c r="A238" s="15"/>
      <c r="B238" s="16"/>
      <c r="C238" s="16"/>
      <c r="D238" s="16"/>
      <c r="E238" s="16"/>
      <c r="F238" s="16"/>
      <c r="G238" s="16"/>
      <c r="H238" s="19" t="str">
        <f aca="false">IF(OR(B238="",G238="Live",G238="Done"),"",IF(A238&lt;Settings!$B$5,"Overdue",""))</f>
        <v/>
      </c>
      <c r="I238" s="19" t="str">
        <f aca="false">IF(B238="","",IF(COUNTIF(Campaigns!$A$5:$A$24,B238)=0,"ID not found","OK"))</f>
        <v/>
      </c>
    </row>
    <row r="239" customFormat="false" ht="15" hidden="false" customHeight="false" outlineLevel="0" collapsed="false">
      <c r="A239" s="15"/>
      <c r="B239" s="16"/>
      <c r="C239" s="16"/>
      <c r="D239" s="16"/>
      <c r="E239" s="16"/>
      <c r="F239" s="16"/>
      <c r="G239" s="16"/>
      <c r="H239" s="19" t="str">
        <f aca="false">IF(OR(B239="",G239="Live",G239="Done"),"",IF(A239&lt;Settings!$B$5,"Overdue",""))</f>
        <v/>
      </c>
      <c r="I239" s="19" t="str">
        <f aca="false">IF(B239="","",IF(COUNTIF(Campaigns!$A$5:$A$24,B239)=0,"ID not found","OK"))</f>
        <v/>
      </c>
    </row>
    <row r="240" customFormat="false" ht="15" hidden="false" customHeight="false" outlineLevel="0" collapsed="false">
      <c r="A240" s="15"/>
      <c r="B240" s="16"/>
      <c r="C240" s="16"/>
      <c r="D240" s="16"/>
      <c r="E240" s="16"/>
      <c r="F240" s="16"/>
      <c r="G240" s="16"/>
      <c r="H240" s="19" t="str">
        <f aca="false">IF(OR(B240="",G240="Live",G240="Done"),"",IF(A240&lt;Settings!$B$5,"Overdue",""))</f>
        <v/>
      </c>
      <c r="I240" s="19" t="str">
        <f aca="false">IF(B240="","",IF(COUNTIF(Campaigns!$A$5:$A$24,B240)=0,"ID not found","OK"))</f>
        <v/>
      </c>
    </row>
    <row r="241" customFormat="false" ht="15" hidden="false" customHeight="false" outlineLevel="0" collapsed="false">
      <c r="A241" s="15"/>
      <c r="B241" s="16"/>
      <c r="C241" s="16"/>
      <c r="D241" s="16"/>
      <c r="E241" s="16"/>
      <c r="F241" s="16"/>
      <c r="G241" s="16"/>
      <c r="H241" s="19" t="str">
        <f aca="false">IF(OR(B241="",G241="Live",G241="Done"),"",IF(A241&lt;Settings!$B$5,"Overdue",""))</f>
        <v/>
      </c>
      <c r="I241" s="19" t="str">
        <f aca="false">IF(B241="","",IF(COUNTIF(Campaigns!$A$5:$A$24,B241)=0,"ID not found","OK"))</f>
        <v/>
      </c>
    </row>
    <row r="242" customFormat="false" ht="15" hidden="false" customHeight="false" outlineLevel="0" collapsed="false">
      <c r="A242" s="15"/>
      <c r="B242" s="16"/>
      <c r="C242" s="16"/>
      <c r="D242" s="16"/>
      <c r="E242" s="16"/>
      <c r="F242" s="16"/>
      <c r="G242" s="16"/>
      <c r="H242" s="19" t="str">
        <f aca="false">IF(OR(B242="",G242="Live",G242="Done"),"",IF(A242&lt;Settings!$B$5,"Overdue",""))</f>
        <v/>
      </c>
      <c r="I242" s="19" t="str">
        <f aca="false">IF(B242="","",IF(COUNTIF(Campaigns!$A$5:$A$24,B242)=0,"ID not found","OK"))</f>
        <v/>
      </c>
    </row>
    <row r="243" customFormat="false" ht="15" hidden="false" customHeight="false" outlineLevel="0" collapsed="false">
      <c r="A243" s="15"/>
      <c r="B243" s="16"/>
      <c r="C243" s="16"/>
      <c r="D243" s="16"/>
      <c r="E243" s="16"/>
      <c r="F243" s="16"/>
      <c r="G243" s="16"/>
      <c r="H243" s="19" t="str">
        <f aca="false">IF(OR(B243="",G243="Live",G243="Done"),"",IF(A243&lt;Settings!$B$5,"Overdue",""))</f>
        <v/>
      </c>
      <c r="I243" s="19" t="str">
        <f aca="false">IF(B243="","",IF(COUNTIF(Campaigns!$A$5:$A$24,B243)=0,"ID not found","OK"))</f>
        <v/>
      </c>
    </row>
    <row r="244" customFormat="false" ht="15" hidden="false" customHeight="false" outlineLevel="0" collapsed="false">
      <c r="A244" s="15"/>
      <c r="B244" s="16"/>
      <c r="C244" s="16"/>
      <c r="D244" s="16"/>
      <c r="E244" s="16"/>
      <c r="F244" s="16"/>
      <c r="G244" s="16"/>
      <c r="H244" s="19" t="str">
        <f aca="false">IF(OR(B244="",G244="Live",G244="Done"),"",IF(A244&lt;Settings!$B$5,"Overdue",""))</f>
        <v/>
      </c>
      <c r="I244" s="19" t="str">
        <f aca="false">IF(B244="","",IF(COUNTIF(Campaigns!$A$5:$A$24,B244)=0,"ID not found","OK"))</f>
        <v/>
      </c>
    </row>
    <row r="245" customFormat="false" ht="15" hidden="false" customHeight="false" outlineLevel="0" collapsed="false">
      <c r="A245" s="15"/>
      <c r="B245" s="16"/>
      <c r="C245" s="16"/>
      <c r="D245" s="16"/>
      <c r="E245" s="16"/>
      <c r="F245" s="16"/>
      <c r="G245" s="16"/>
      <c r="H245" s="19" t="str">
        <f aca="false">IF(OR(B245="",G245="Live",G245="Done"),"",IF(A245&lt;Settings!$B$5,"Overdue",""))</f>
        <v/>
      </c>
      <c r="I245" s="19" t="str">
        <f aca="false">IF(B245="","",IF(COUNTIF(Campaigns!$A$5:$A$24,B245)=0,"ID not found","OK"))</f>
        <v/>
      </c>
    </row>
    <row r="246" customFormat="false" ht="15" hidden="false" customHeight="false" outlineLevel="0" collapsed="false">
      <c r="A246" s="15"/>
      <c r="B246" s="16"/>
      <c r="C246" s="16"/>
      <c r="D246" s="16"/>
      <c r="E246" s="16"/>
      <c r="F246" s="16"/>
      <c r="G246" s="16"/>
      <c r="H246" s="19" t="str">
        <f aca="false">IF(OR(B246="",G246="Live",G246="Done"),"",IF(A246&lt;Settings!$B$5,"Overdue",""))</f>
        <v/>
      </c>
      <c r="I246" s="19" t="str">
        <f aca="false">IF(B246="","",IF(COUNTIF(Campaigns!$A$5:$A$24,B246)=0,"ID not found","OK"))</f>
        <v/>
      </c>
    </row>
    <row r="247" customFormat="false" ht="15" hidden="false" customHeight="false" outlineLevel="0" collapsed="false">
      <c r="A247" s="15"/>
      <c r="B247" s="16"/>
      <c r="C247" s="16"/>
      <c r="D247" s="16"/>
      <c r="E247" s="16"/>
      <c r="F247" s="16"/>
      <c r="G247" s="16"/>
      <c r="H247" s="19" t="str">
        <f aca="false">IF(OR(B247="",G247="Live",G247="Done"),"",IF(A247&lt;Settings!$B$5,"Overdue",""))</f>
        <v/>
      </c>
      <c r="I247" s="19" t="str">
        <f aca="false">IF(B247="","",IF(COUNTIF(Campaigns!$A$5:$A$24,B247)=0,"ID not found","OK"))</f>
        <v/>
      </c>
    </row>
    <row r="248" customFormat="false" ht="15" hidden="false" customHeight="false" outlineLevel="0" collapsed="false">
      <c r="A248" s="15"/>
      <c r="B248" s="16"/>
      <c r="C248" s="16"/>
      <c r="D248" s="16"/>
      <c r="E248" s="16"/>
      <c r="F248" s="16"/>
      <c r="G248" s="16"/>
      <c r="H248" s="19" t="str">
        <f aca="false">IF(OR(B248="",G248="Live",G248="Done"),"",IF(A248&lt;Settings!$B$5,"Overdue",""))</f>
        <v/>
      </c>
      <c r="I248" s="19" t="str">
        <f aca="false">IF(B248="","",IF(COUNTIF(Campaigns!$A$5:$A$24,B248)=0,"ID not found","OK"))</f>
        <v/>
      </c>
    </row>
    <row r="249" customFormat="false" ht="15" hidden="false" customHeight="false" outlineLevel="0" collapsed="false">
      <c r="A249" s="15"/>
      <c r="B249" s="16"/>
      <c r="C249" s="16"/>
      <c r="D249" s="16"/>
      <c r="E249" s="16"/>
      <c r="F249" s="16"/>
      <c r="G249" s="16"/>
      <c r="H249" s="19" t="str">
        <f aca="false">IF(OR(B249="",G249="Live",G249="Done"),"",IF(A249&lt;Settings!$B$5,"Overdue",""))</f>
        <v/>
      </c>
      <c r="I249" s="19" t="str">
        <f aca="false">IF(B249="","",IF(COUNTIF(Campaigns!$A$5:$A$24,B249)=0,"ID not found","OK"))</f>
        <v/>
      </c>
    </row>
    <row r="250" customFormat="false" ht="15" hidden="false" customHeight="false" outlineLevel="0" collapsed="false">
      <c r="A250" s="15"/>
      <c r="B250" s="16"/>
      <c r="C250" s="16"/>
      <c r="D250" s="16"/>
      <c r="E250" s="16"/>
      <c r="F250" s="16"/>
      <c r="G250" s="16"/>
      <c r="H250" s="19" t="str">
        <f aca="false">IF(OR(B250="",G250="Live",G250="Done"),"",IF(A250&lt;Settings!$B$5,"Overdue",""))</f>
        <v/>
      </c>
      <c r="I250" s="19" t="str">
        <f aca="false">IF(B250="","",IF(COUNTIF(Campaigns!$A$5:$A$24,B250)=0,"ID not found","OK"))</f>
        <v/>
      </c>
    </row>
    <row r="251" customFormat="false" ht="15" hidden="false" customHeight="false" outlineLevel="0" collapsed="false">
      <c r="A251" s="15"/>
      <c r="B251" s="16"/>
      <c r="C251" s="16"/>
      <c r="D251" s="16"/>
      <c r="E251" s="16"/>
      <c r="F251" s="16"/>
      <c r="G251" s="16"/>
      <c r="H251" s="19" t="str">
        <f aca="false">IF(OR(B251="",G251="Live",G251="Done"),"",IF(A251&lt;Settings!$B$5,"Overdue",""))</f>
        <v/>
      </c>
      <c r="I251" s="19" t="str">
        <f aca="false">IF(B251="","",IF(COUNTIF(Campaigns!$A$5:$A$24,B251)=0,"ID not found","OK"))</f>
        <v/>
      </c>
    </row>
    <row r="252" customFormat="false" ht="15" hidden="false" customHeight="false" outlineLevel="0" collapsed="false">
      <c r="A252" s="15"/>
      <c r="B252" s="16"/>
      <c r="C252" s="16"/>
      <c r="D252" s="16"/>
      <c r="E252" s="16"/>
      <c r="F252" s="16"/>
      <c r="G252" s="16"/>
      <c r="H252" s="19" t="str">
        <f aca="false">IF(OR(B252="",G252="Live",G252="Done"),"",IF(A252&lt;Settings!$B$5,"Overdue",""))</f>
        <v/>
      </c>
      <c r="I252" s="19" t="str">
        <f aca="false">IF(B252="","",IF(COUNTIF(Campaigns!$A$5:$A$24,B252)=0,"ID not found","OK"))</f>
        <v/>
      </c>
    </row>
    <row r="253" customFormat="false" ht="15" hidden="false" customHeight="false" outlineLevel="0" collapsed="false">
      <c r="A253" s="15"/>
      <c r="B253" s="16"/>
      <c r="C253" s="16"/>
      <c r="D253" s="16"/>
      <c r="E253" s="16"/>
      <c r="F253" s="16"/>
      <c r="G253" s="16"/>
      <c r="H253" s="19" t="str">
        <f aca="false">IF(OR(B253="",G253="Live",G253="Done"),"",IF(A253&lt;Settings!$B$5,"Overdue",""))</f>
        <v/>
      </c>
      <c r="I253" s="19" t="str">
        <f aca="false">IF(B253="","",IF(COUNTIF(Campaigns!$A$5:$A$24,B253)=0,"ID not found","OK"))</f>
        <v/>
      </c>
    </row>
    <row r="254" customFormat="false" ht="15" hidden="false" customHeight="false" outlineLevel="0" collapsed="false">
      <c r="A254" s="15"/>
      <c r="B254" s="16"/>
      <c r="C254" s="16"/>
      <c r="D254" s="16"/>
      <c r="E254" s="16"/>
      <c r="F254" s="16"/>
      <c r="G254" s="16"/>
      <c r="H254" s="19" t="str">
        <f aca="false">IF(OR(B254="",G254="Live",G254="Done"),"",IF(A254&lt;Settings!$B$5,"Overdue",""))</f>
        <v/>
      </c>
      <c r="I254" s="19" t="str">
        <f aca="false">IF(B254="","",IF(COUNTIF(Campaigns!$A$5:$A$24,B254)=0,"ID not found","OK"))</f>
        <v/>
      </c>
    </row>
    <row r="255" customFormat="false" ht="15" hidden="false" customHeight="false" outlineLevel="0" collapsed="false">
      <c r="A255" s="15"/>
      <c r="B255" s="16"/>
      <c r="C255" s="16"/>
      <c r="D255" s="16"/>
      <c r="E255" s="16"/>
      <c r="F255" s="16"/>
      <c r="G255" s="16"/>
      <c r="H255" s="19" t="str">
        <f aca="false">IF(OR(B255="",G255="Live",G255="Done"),"",IF(A255&lt;Settings!$B$5,"Overdue",""))</f>
        <v/>
      </c>
      <c r="I255" s="19" t="str">
        <f aca="false">IF(B255="","",IF(COUNTIF(Campaigns!$A$5:$A$24,B255)=0,"ID not found","OK"))</f>
        <v/>
      </c>
    </row>
    <row r="256" customFormat="false" ht="15" hidden="false" customHeight="false" outlineLevel="0" collapsed="false">
      <c r="A256" s="15"/>
      <c r="B256" s="16"/>
      <c r="C256" s="16"/>
      <c r="D256" s="16"/>
      <c r="E256" s="16"/>
      <c r="F256" s="16"/>
      <c r="G256" s="16"/>
      <c r="H256" s="19" t="str">
        <f aca="false">IF(OR(B256="",G256="Live",G256="Done"),"",IF(A256&lt;Settings!$B$5,"Overdue",""))</f>
        <v/>
      </c>
      <c r="I256" s="19" t="str">
        <f aca="false">IF(B256="","",IF(COUNTIF(Campaigns!$A$5:$A$24,B256)=0,"ID not found","OK"))</f>
        <v/>
      </c>
    </row>
    <row r="257" customFormat="false" ht="15" hidden="false" customHeight="false" outlineLevel="0" collapsed="false">
      <c r="A257" s="15"/>
      <c r="B257" s="16"/>
      <c r="C257" s="16"/>
      <c r="D257" s="16"/>
      <c r="E257" s="16"/>
      <c r="F257" s="16"/>
      <c r="G257" s="16"/>
      <c r="H257" s="19" t="str">
        <f aca="false">IF(OR(B257="",G257="Live",G257="Done"),"",IF(A257&lt;Settings!$B$5,"Overdue",""))</f>
        <v/>
      </c>
      <c r="I257" s="19" t="str">
        <f aca="false">IF(B257="","",IF(COUNTIF(Campaigns!$A$5:$A$24,B257)=0,"ID not found","OK"))</f>
        <v/>
      </c>
    </row>
    <row r="258" customFormat="false" ht="15" hidden="false" customHeight="false" outlineLevel="0" collapsed="false">
      <c r="A258" s="15"/>
      <c r="B258" s="16"/>
      <c r="C258" s="16"/>
      <c r="D258" s="16"/>
      <c r="E258" s="16"/>
      <c r="F258" s="16"/>
      <c r="G258" s="16"/>
      <c r="H258" s="19" t="str">
        <f aca="false">IF(OR(B258="",G258="Live",G258="Done"),"",IF(A258&lt;Settings!$B$5,"Overdue",""))</f>
        <v/>
      </c>
      <c r="I258" s="19" t="str">
        <f aca="false">IF(B258="","",IF(COUNTIF(Campaigns!$A$5:$A$24,B258)=0,"ID not found","OK"))</f>
        <v/>
      </c>
    </row>
    <row r="259" customFormat="false" ht="15" hidden="false" customHeight="false" outlineLevel="0" collapsed="false">
      <c r="A259" s="15"/>
      <c r="B259" s="16"/>
      <c r="C259" s="16"/>
      <c r="D259" s="16"/>
      <c r="E259" s="16"/>
      <c r="F259" s="16"/>
      <c r="G259" s="16"/>
      <c r="H259" s="19" t="str">
        <f aca="false">IF(OR(B259="",G259="Live",G259="Done"),"",IF(A259&lt;Settings!$B$5,"Overdue",""))</f>
        <v/>
      </c>
      <c r="I259" s="19" t="str">
        <f aca="false">IF(B259="","",IF(COUNTIF(Campaigns!$A$5:$A$24,B259)=0,"ID not found","OK"))</f>
        <v/>
      </c>
    </row>
    <row r="260" customFormat="false" ht="15" hidden="false" customHeight="false" outlineLevel="0" collapsed="false">
      <c r="A260" s="15"/>
      <c r="B260" s="16"/>
      <c r="C260" s="16"/>
      <c r="D260" s="16"/>
      <c r="E260" s="16"/>
      <c r="F260" s="16"/>
      <c r="G260" s="16"/>
      <c r="H260" s="19" t="str">
        <f aca="false">IF(OR(B260="",G260="Live",G260="Done"),"",IF(A260&lt;Settings!$B$5,"Overdue",""))</f>
        <v/>
      </c>
      <c r="I260" s="19" t="str">
        <f aca="false">IF(B260="","",IF(COUNTIF(Campaigns!$A$5:$A$24,B260)=0,"ID not found","OK"))</f>
        <v/>
      </c>
    </row>
    <row r="261" customFormat="false" ht="15" hidden="false" customHeight="false" outlineLevel="0" collapsed="false">
      <c r="A261" s="15"/>
      <c r="B261" s="16"/>
      <c r="C261" s="16"/>
      <c r="D261" s="16"/>
      <c r="E261" s="16"/>
      <c r="F261" s="16"/>
      <c r="G261" s="16"/>
      <c r="H261" s="19" t="str">
        <f aca="false">IF(OR(B261="",G261="Live",G261="Done"),"",IF(A261&lt;Settings!$B$5,"Overdue",""))</f>
        <v/>
      </c>
      <c r="I261" s="19" t="str">
        <f aca="false">IF(B261="","",IF(COUNTIF(Campaigns!$A$5:$A$24,B261)=0,"ID not found","OK"))</f>
        <v/>
      </c>
    </row>
    <row r="262" customFormat="false" ht="15" hidden="false" customHeight="false" outlineLevel="0" collapsed="false">
      <c r="A262" s="15"/>
      <c r="B262" s="16"/>
      <c r="C262" s="16"/>
      <c r="D262" s="16"/>
      <c r="E262" s="16"/>
      <c r="F262" s="16"/>
      <c r="G262" s="16"/>
      <c r="H262" s="19" t="str">
        <f aca="false">IF(OR(B262="",G262="Live",G262="Done"),"",IF(A262&lt;Settings!$B$5,"Overdue",""))</f>
        <v/>
      </c>
      <c r="I262" s="19" t="str">
        <f aca="false">IF(B262="","",IF(COUNTIF(Campaigns!$A$5:$A$24,B262)=0,"ID not found","OK"))</f>
        <v/>
      </c>
    </row>
    <row r="263" customFormat="false" ht="15" hidden="false" customHeight="false" outlineLevel="0" collapsed="false">
      <c r="A263" s="15"/>
      <c r="B263" s="16"/>
      <c r="C263" s="16"/>
      <c r="D263" s="16"/>
      <c r="E263" s="16"/>
      <c r="F263" s="16"/>
      <c r="G263" s="16"/>
      <c r="H263" s="19" t="str">
        <f aca="false">IF(OR(B263="",G263="Live",G263="Done"),"",IF(A263&lt;Settings!$B$5,"Overdue",""))</f>
        <v/>
      </c>
      <c r="I263" s="19" t="str">
        <f aca="false">IF(B263="","",IF(COUNTIF(Campaigns!$A$5:$A$24,B263)=0,"ID not found","OK"))</f>
        <v/>
      </c>
    </row>
    <row r="264" customFormat="false" ht="15" hidden="false" customHeight="false" outlineLevel="0" collapsed="false">
      <c r="A264" s="15"/>
      <c r="B264" s="16"/>
      <c r="C264" s="16"/>
      <c r="D264" s="16"/>
      <c r="E264" s="16"/>
      <c r="F264" s="16"/>
      <c r="G264" s="16"/>
      <c r="H264" s="19" t="str">
        <f aca="false">IF(OR(B264="",G264="Live",G264="Done"),"",IF(A264&lt;Settings!$B$5,"Overdue",""))</f>
        <v/>
      </c>
      <c r="I264" s="19" t="str">
        <f aca="false">IF(B264="","",IF(COUNTIF(Campaigns!$A$5:$A$24,B264)=0,"ID not found","OK"))</f>
        <v/>
      </c>
    </row>
    <row r="265" customFormat="false" ht="15" hidden="false" customHeight="false" outlineLevel="0" collapsed="false">
      <c r="A265" s="15"/>
      <c r="B265" s="16"/>
      <c r="C265" s="16"/>
      <c r="D265" s="16"/>
      <c r="E265" s="16"/>
      <c r="F265" s="16"/>
      <c r="G265" s="16"/>
      <c r="H265" s="19" t="str">
        <f aca="false">IF(OR(B265="",G265="Live",G265="Done"),"",IF(A265&lt;Settings!$B$5,"Overdue",""))</f>
        <v/>
      </c>
      <c r="I265" s="19" t="str">
        <f aca="false">IF(B265="","",IF(COUNTIF(Campaigns!$A$5:$A$24,B265)=0,"ID not found","OK"))</f>
        <v/>
      </c>
    </row>
    <row r="266" customFormat="false" ht="15" hidden="false" customHeight="false" outlineLevel="0" collapsed="false">
      <c r="A266" s="15"/>
      <c r="B266" s="16"/>
      <c r="C266" s="16"/>
      <c r="D266" s="16"/>
      <c r="E266" s="16"/>
      <c r="F266" s="16"/>
      <c r="G266" s="16"/>
      <c r="H266" s="19" t="str">
        <f aca="false">IF(OR(B266="",G266="Live",G266="Done"),"",IF(A266&lt;Settings!$B$5,"Overdue",""))</f>
        <v/>
      </c>
      <c r="I266" s="19" t="str">
        <f aca="false">IF(B266="","",IF(COUNTIF(Campaigns!$A$5:$A$24,B266)=0,"ID not found","OK"))</f>
        <v/>
      </c>
    </row>
    <row r="267" customFormat="false" ht="15" hidden="false" customHeight="false" outlineLevel="0" collapsed="false">
      <c r="A267" s="15"/>
      <c r="B267" s="16"/>
      <c r="C267" s="16"/>
      <c r="D267" s="16"/>
      <c r="E267" s="16"/>
      <c r="F267" s="16"/>
      <c r="G267" s="16"/>
      <c r="H267" s="19" t="str">
        <f aca="false">IF(OR(B267="",G267="Live",G267="Done"),"",IF(A267&lt;Settings!$B$5,"Overdue",""))</f>
        <v/>
      </c>
      <c r="I267" s="19" t="str">
        <f aca="false">IF(B267="","",IF(COUNTIF(Campaigns!$A$5:$A$24,B267)=0,"ID not found","OK"))</f>
        <v/>
      </c>
    </row>
    <row r="268" customFormat="false" ht="15" hidden="false" customHeight="false" outlineLevel="0" collapsed="false">
      <c r="A268" s="15"/>
      <c r="B268" s="16"/>
      <c r="C268" s="16"/>
      <c r="D268" s="16"/>
      <c r="E268" s="16"/>
      <c r="F268" s="16"/>
      <c r="G268" s="16"/>
      <c r="H268" s="19" t="str">
        <f aca="false">IF(OR(B268="",G268="Live",G268="Done"),"",IF(A268&lt;Settings!$B$5,"Overdue",""))</f>
        <v/>
      </c>
      <c r="I268" s="19" t="str">
        <f aca="false">IF(B268="","",IF(COUNTIF(Campaigns!$A$5:$A$24,B268)=0,"ID not found","OK"))</f>
        <v/>
      </c>
    </row>
    <row r="269" customFormat="false" ht="15" hidden="false" customHeight="false" outlineLevel="0" collapsed="false">
      <c r="A269" s="15"/>
      <c r="B269" s="16"/>
      <c r="C269" s="16"/>
      <c r="D269" s="16"/>
      <c r="E269" s="16"/>
      <c r="F269" s="16"/>
      <c r="G269" s="16"/>
      <c r="H269" s="19" t="str">
        <f aca="false">IF(OR(B269="",G269="Live",G269="Done"),"",IF(A269&lt;Settings!$B$5,"Overdue",""))</f>
        <v/>
      </c>
      <c r="I269" s="19" t="str">
        <f aca="false">IF(B269="","",IF(COUNTIF(Campaigns!$A$5:$A$24,B269)=0,"ID not found","OK"))</f>
        <v/>
      </c>
    </row>
    <row r="270" customFormat="false" ht="15" hidden="false" customHeight="false" outlineLevel="0" collapsed="false">
      <c r="A270" s="15"/>
      <c r="B270" s="16"/>
      <c r="C270" s="16"/>
      <c r="D270" s="16"/>
      <c r="E270" s="16"/>
      <c r="F270" s="16"/>
      <c r="G270" s="16"/>
      <c r="H270" s="19" t="str">
        <f aca="false">IF(OR(B270="",G270="Live",G270="Done"),"",IF(A270&lt;Settings!$B$5,"Overdue",""))</f>
        <v/>
      </c>
      <c r="I270" s="19" t="str">
        <f aca="false">IF(B270="","",IF(COUNTIF(Campaigns!$A$5:$A$24,B270)=0,"ID not found","OK"))</f>
        <v/>
      </c>
    </row>
    <row r="271" customFormat="false" ht="15" hidden="false" customHeight="false" outlineLevel="0" collapsed="false">
      <c r="A271" s="15"/>
      <c r="B271" s="16"/>
      <c r="C271" s="16"/>
      <c r="D271" s="16"/>
      <c r="E271" s="16"/>
      <c r="F271" s="16"/>
      <c r="G271" s="16"/>
      <c r="H271" s="19" t="str">
        <f aca="false">IF(OR(B271="",G271="Live",G271="Done"),"",IF(A271&lt;Settings!$B$5,"Overdue",""))</f>
        <v/>
      </c>
      <c r="I271" s="19" t="str">
        <f aca="false">IF(B271="","",IF(COUNTIF(Campaigns!$A$5:$A$24,B271)=0,"ID not found","OK"))</f>
        <v/>
      </c>
    </row>
    <row r="272" customFormat="false" ht="15" hidden="false" customHeight="false" outlineLevel="0" collapsed="false">
      <c r="A272" s="15"/>
      <c r="B272" s="16"/>
      <c r="C272" s="16"/>
      <c r="D272" s="16"/>
      <c r="E272" s="16"/>
      <c r="F272" s="16"/>
      <c r="G272" s="16"/>
      <c r="H272" s="19" t="str">
        <f aca="false">IF(OR(B272="",G272="Live",G272="Done"),"",IF(A272&lt;Settings!$B$5,"Overdue",""))</f>
        <v/>
      </c>
      <c r="I272" s="19" t="str">
        <f aca="false">IF(B272="","",IF(COUNTIF(Campaigns!$A$5:$A$24,B272)=0,"ID not found","OK"))</f>
        <v/>
      </c>
    </row>
    <row r="273" customFormat="false" ht="15" hidden="false" customHeight="false" outlineLevel="0" collapsed="false">
      <c r="A273" s="15"/>
      <c r="B273" s="16"/>
      <c r="C273" s="16"/>
      <c r="D273" s="16"/>
      <c r="E273" s="16"/>
      <c r="F273" s="16"/>
      <c r="G273" s="16"/>
      <c r="H273" s="19" t="str">
        <f aca="false">IF(OR(B273="",G273="Live",G273="Done"),"",IF(A273&lt;Settings!$B$5,"Overdue",""))</f>
        <v/>
      </c>
      <c r="I273" s="19" t="str">
        <f aca="false">IF(B273="","",IF(COUNTIF(Campaigns!$A$5:$A$24,B273)=0,"ID not found","OK"))</f>
        <v/>
      </c>
    </row>
    <row r="274" customFormat="false" ht="15" hidden="false" customHeight="false" outlineLevel="0" collapsed="false">
      <c r="A274" s="15"/>
      <c r="B274" s="16"/>
      <c r="C274" s="16"/>
      <c r="D274" s="16"/>
      <c r="E274" s="16"/>
      <c r="F274" s="16"/>
      <c r="G274" s="16"/>
      <c r="H274" s="19" t="str">
        <f aca="false">IF(OR(B274="",G274="Live",G274="Done"),"",IF(A274&lt;Settings!$B$5,"Overdue",""))</f>
        <v/>
      </c>
      <c r="I274" s="19" t="str">
        <f aca="false">IF(B274="","",IF(COUNTIF(Campaigns!$A$5:$A$24,B274)=0,"ID not found","OK"))</f>
        <v/>
      </c>
    </row>
    <row r="275" customFormat="false" ht="15" hidden="false" customHeight="false" outlineLevel="0" collapsed="false">
      <c r="A275" s="15"/>
      <c r="B275" s="16"/>
      <c r="C275" s="16"/>
      <c r="D275" s="16"/>
      <c r="E275" s="16"/>
      <c r="F275" s="16"/>
      <c r="G275" s="16"/>
      <c r="H275" s="19" t="str">
        <f aca="false">IF(OR(B275="",G275="Live",G275="Done"),"",IF(A275&lt;Settings!$B$5,"Overdue",""))</f>
        <v/>
      </c>
      <c r="I275" s="19" t="str">
        <f aca="false">IF(B275="","",IF(COUNTIF(Campaigns!$A$5:$A$24,B275)=0,"ID not found","OK"))</f>
        <v/>
      </c>
    </row>
    <row r="276" customFormat="false" ht="15" hidden="false" customHeight="false" outlineLevel="0" collapsed="false">
      <c r="A276" s="15"/>
      <c r="B276" s="16"/>
      <c r="C276" s="16"/>
      <c r="D276" s="16"/>
      <c r="E276" s="16"/>
      <c r="F276" s="16"/>
      <c r="G276" s="16"/>
      <c r="H276" s="19" t="str">
        <f aca="false">IF(OR(B276="",G276="Live",G276="Done"),"",IF(A276&lt;Settings!$B$5,"Overdue",""))</f>
        <v/>
      </c>
      <c r="I276" s="19" t="str">
        <f aca="false">IF(B276="","",IF(COUNTIF(Campaigns!$A$5:$A$24,B276)=0,"ID not found","OK"))</f>
        <v/>
      </c>
    </row>
    <row r="277" customFormat="false" ht="15" hidden="false" customHeight="false" outlineLevel="0" collapsed="false">
      <c r="A277" s="15"/>
      <c r="B277" s="16"/>
      <c r="C277" s="16"/>
      <c r="D277" s="16"/>
      <c r="E277" s="16"/>
      <c r="F277" s="16"/>
      <c r="G277" s="16"/>
      <c r="H277" s="19" t="str">
        <f aca="false">IF(OR(B277="",G277="Live",G277="Done"),"",IF(A277&lt;Settings!$B$5,"Overdue",""))</f>
        <v/>
      </c>
      <c r="I277" s="19" t="str">
        <f aca="false">IF(B277="","",IF(COUNTIF(Campaigns!$A$5:$A$24,B277)=0,"ID not found","OK"))</f>
        <v/>
      </c>
    </row>
    <row r="278" customFormat="false" ht="15" hidden="false" customHeight="false" outlineLevel="0" collapsed="false">
      <c r="A278" s="15"/>
      <c r="B278" s="16"/>
      <c r="C278" s="16"/>
      <c r="D278" s="16"/>
      <c r="E278" s="16"/>
      <c r="F278" s="16"/>
      <c r="G278" s="16"/>
      <c r="H278" s="19" t="str">
        <f aca="false">IF(OR(B278="",G278="Live",G278="Done"),"",IF(A278&lt;Settings!$B$5,"Overdue",""))</f>
        <v/>
      </c>
      <c r="I278" s="19" t="str">
        <f aca="false">IF(B278="","",IF(COUNTIF(Campaigns!$A$5:$A$24,B278)=0,"ID not found","OK"))</f>
        <v/>
      </c>
    </row>
    <row r="279" customFormat="false" ht="15" hidden="false" customHeight="false" outlineLevel="0" collapsed="false">
      <c r="A279" s="15"/>
      <c r="B279" s="16"/>
      <c r="C279" s="16"/>
      <c r="D279" s="16"/>
      <c r="E279" s="16"/>
      <c r="F279" s="16"/>
      <c r="G279" s="16"/>
      <c r="H279" s="19" t="str">
        <f aca="false">IF(OR(B279="",G279="Live",G279="Done"),"",IF(A279&lt;Settings!$B$5,"Overdue",""))</f>
        <v/>
      </c>
      <c r="I279" s="19" t="str">
        <f aca="false">IF(B279="","",IF(COUNTIF(Campaigns!$A$5:$A$24,B279)=0,"ID not found","OK"))</f>
        <v/>
      </c>
    </row>
    <row r="280" customFormat="false" ht="15" hidden="false" customHeight="false" outlineLevel="0" collapsed="false">
      <c r="A280" s="15"/>
      <c r="B280" s="16"/>
      <c r="C280" s="16"/>
      <c r="D280" s="16"/>
      <c r="E280" s="16"/>
      <c r="F280" s="16"/>
      <c r="G280" s="16"/>
      <c r="H280" s="19" t="str">
        <f aca="false">IF(OR(B280="",G280="Live",G280="Done"),"",IF(A280&lt;Settings!$B$5,"Overdue",""))</f>
        <v/>
      </c>
      <c r="I280" s="19" t="str">
        <f aca="false">IF(B280="","",IF(COUNTIF(Campaigns!$A$5:$A$24,B280)=0,"ID not found","OK"))</f>
        <v/>
      </c>
    </row>
    <row r="281" customFormat="false" ht="15" hidden="false" customHeight="false" outlineLevel="0" collapsed="false">
      <c r="A281" s="15"/>
      <c r="B281" s="16"/>
      <c r="C281" s="16"/>
      <c r="D281" s="16"/>
      <c r="E281" s="16"/>
      <c r="F281" s="16"/>
      <c r="G281" s="16"/>
      <c r="H281" s="19" t="str">
        <f aca="false">IF(OR(B281="",G281="Live",G281="Done"),"",IF(A281&lt;Settings!$B$5,"Overdue",""))</f>
        <v/>
      </c>
      <c r="I281" s="19" t="str">
        <f aca="false">IF(B281="","",IF(COUNTIF(Campaigns!$A$5:$A$24,B281)=0,"ID not found","OK"))</f>
        <v/>
      </c>
    </row>
    <row r="282" customFormat="false" ht="15" hidden="false" customHeight="false" outlineLevel="0" collapsed="false">
      <c r="A282" s="15"/>
      <c r="B282" s="16"/>
      <c r="C282" s="16"/>
      <c r="D282" s="16"/>
      <c r="E282" s="16"/>
      <c r="F282" s="16"/>
      <c r="G282" s="16"/>
      <c r="H282" s="19" t="str">
        <f aca="false">IF(OR(B282="",G282="Live",G282="Done"),"",IF(A282&lt;Settings!$B$5,"Overdue",""))</f>
        <v/>
      </c>
      <c r="I282" s="19" t="str">
        <f aca="false">IF(B282="","",IF(COUNTIF(Campaigns!$A$5:$A$24,B282)=0,"ID not found","OK"))</f>
        <v/>
      </c>
    </row>
    <row r="283" customFormat="false" ht="15" hidden="false" customHeight="false" outlineLevel="0" collapsed="false">
      <c r="A283" s="15"/>
      <c r="B283" s="16"/>
      <c r="C283" s="16"/>
      <c r="D283" s="16"/>
      <c r="E283" s="16"/>
      <c r="F283" s="16"/>
      <c r="G283" s="16"/>
      <c r="H283" s="19" t="str">
        <f aca="false">IF(OR(B283="",G283="Live",G283="Done"),"",IF(A283&lt;Settings!$B$5,"Overdue",""))</f>
        <v/>
      </c>
      <c r="I283" s="19" t="str">
        <f aca="false">IF(B283="","",IF(COUNTIF(Campaigns!$A$5:$A$24,B283)=0,"ID not found","OK"))</f>
        <v/>
      </c>
    </row>
    <row r="284" customFormat="false" ht="15" hidden="false" customHeight="false" outlineLevel="0" collapsed="false">
      <c r="A284" s="15"/>
      <c r="B284" s="16"/>
      <c r="C284" s="16"/>
      <c r="D284" s="16"/>
      <c r="E284" s="16"/>
      <c r="F284" s="16"/>
      <c r="G284" s="16"/>
      <c r="H284" s="19" t="str">
        <f aca="false">IF(OR(B284="",G284="Live",G284="Done"),"",IF(A284&lt;Settings!$B$5,"Overdue",""))</f>
        <v/>
      </c>
      <c r="I284" s="19" t="str">
        <f aca="false">IF(B284="","",IF(COUNTIF(Campaigns!$A$5:$A$24,B284)=0,"ID not found","OK"))</f>
        <v/>
      </c>
    </row>
    <row r="285" customFormat="false" ht="15" hidden="false" customHeight="false" outlineLevel="0" collapsed="false">
      <c r="A285" s="15"/>
      <c r="B285" s="16"/>
      <c r="C285" s="16"/>
      <c r="D285" s="16"/>
      <c r="E285" s="16"/>
      <c r="F285" s="16"/>
      <c r="G285" s="16"/>
      <c r="H285" s="19" t="str">
        <f aca="false">IF(OR(B285="",G285="Live",G285="Done"),"",IF(A285&lt;Settings!$B$5,"Overdue",""))</f>
        <v/>
      </c>
      <c r="I285" s="19" t="str">
        <f aca="false">IF(B285="","",IF(COUNTIF(Campaigns!$A$5:$A$24,B285)=0,"ID not found","OK"))</f>
        <v/>
      </c>
    </row>
    <row r="286" customFormat="false" ht="15" hidden="false" customHeight="false" outlineLevel="0" collapsed="false">
      <c r="A286" s="15"/>
      <c r="B286" s="16"/>
      <c r="C286" s="16"/>
      <c r="D286" s="16"/>
      <c r="E286" s="16"/>
      <c r="F286" s="16"/>
      <c r="G286" s="16"/>
      <c r="H286" s="19" t="str">
        <f aca="false">IF(OR(B286="",G286="Live",G286="Done"),"",IF(A286&lt;Settings!$B$5,"Overdue",""))</f>
        <v/>
      </c>
      <c r="I286" s="19" t="str">
        <f aca="false">IF(B286="","",IF(COUNTIF(Campaigns!$A$5:$A$24,B286)=0,"ID not found","OK"))</f>
        <v/>
      </c>
    </row>
    <row r="287" customFormat="false" ht="15" hidden="false" customHeight="false" outlineLevel="0" collapsed="false">
      <c r="A287" s="15"/>
      <c r="B287" s="16"/>
      <c r="C287" s="16"/>
      <c r="D287" s="16"/>
      <c r="E287" s="16"/>
      <c r="F287" s="16"/>
      <c r="G287" s="16"/>
      <c r="H287" s="19" t="str">
        <f aca="false">IF(OR(B287="",G287="Live",G287="Done"),"",IF(A287&lt;Settings!$B$5,"Overdue",""))</f>
        <v/>
      </c>
      <c r="I287" s="19" t="str">
        <f aca="false">IF(B287="","",IF(COUNTIF(Campaigns!$A$5:$A$24,B287)=0,"ID not found","OK"))</f>
        <v/>
      </c>
    </row>
    <row r="288" customFormat="false" ht="15" hidden="false" customHeight="false" outlineLevel="0" collapsed="false">
      <c r="A288" s="15"/>
      <c r="B288" s="16"/>
      <c r="C288" s="16"/>
      <c r="D288" s="16"/>
      <c r="E288" s="16"/>
      <c r="F288" s="16"/>
      <c r="G288" s="16"/>
      <c r="H288" s="19" t="str">
        <f aca="false">IF(OR(B288="",G288="Live",G288="Done"),"",IF(A288&lt;Settings!$B$5,"Overdue",""))</f>
        <v/>
      </c>
      <c r="I288" s="19" t="str">
        <f aca="false">IF(B288="","",IF(COUNTIF(Campaigns!$A$5:$A$24,B288)=0,"ID not found","OK"))</f>
        <v/>
      </c>
    </row>
    <row r="289" customFormat="false" ht="15" hidden="false" customHeight="false" outlineLevel="0" collapsed="false">
      <c r="A289" s="15"/>
      <c r="B289" s="16"/>
      <c r="C289" s="16"/>
      <c r="D289" s="16"/>
      <c r="E289" s="16"/>
      <c r="F289" s="16"/>
      <c r="G289" s="16"/>
      <c r="H289" s="19" t="str">
        <f aca="false">IF(OR(B289="",G289="Live",G289="Done"),"",IF(A289&lt;Settings!$B$5,"Overdue",""))</f>
        <v/>
      </c>
      <c r="I289" s="19" t="str">
        <f aca="false">IF(B289="","",IF(COUNTIF(Campaigns!$A$5:$A$24,B289)=0,"ID not found","OK"))</f>
        <v/>
      </c>
    </row>
    <row r="290" customFormat="false" ht="15" hidden="false" customHeight="false" outlineLevel="0" collapsed="false">
      <c r="A290" s="15"/>
      <c r="B290" s="16"/>
      <c r="C290" s="16"/>
      <c r="D290" s="16"/>
      <c r="E290" s="16"/>
      <c r="F290" s="16"/>
      <c r="G290" s="16"/>
      <c r="H290" s="19" t="str">
        <f aca="false">IF(OR(B290="",G290="Live",G290="Done"),"",IF(A290&lt;Settings!$B$5,"Overdue",""))</f>
        <v/>
      </c>
      <c r="I290" s="19" t="str">
        <f aca="false">IF(B290="","",IF(COUNTIF(Campaigns!$A$5:$A$24,B290)=0,"ID not found","OK"))</f>
        <v/>
      </c>
    </row>
    <row r="291" customFormat="false" ht="15" hidden="false" customHeight="false" outlineLevel="0" collapsed="false">
      <c r="A291" s="15"/>
      <c r="B291" s="16"/>
      <c r="C291" s="16"/>
      <c r="D291" s="16"/>
      <c r="E291" s="16"/>
      <c r="F291" s="16"/>
      <c r="G291" s="16"/>
      <c r="H291" s="19" t="str">
        <f aca="false">IF(OR(B291="",G291="Live",G291="Done"),"",IF(A291&lt;Settings!$B$5,"Overdue",""))</f>
        <v/>
      </c>
      <c r="I291" s="19" t="str">
        <f aca="false">IF(B291="","",IF(COUNTIF(Campaigns!$A$5:$A$24,B291)=0,"ID not found","OK"))</f>
        <v/>
      </c>
    </row>
    <row r="292" customFormat="false" ht="15" hidden="false" customHeight="false" outlineLevel="0" collapsed="false">
      <c r="A292" s="15"/>
      <c r="B292" s="16"/>
      <c r="C292" s="16"/>
      <c r="D292" s="16"/>
      <c r="E292" s="16"/>
      <c r="F292" s="16"/>
      <c r="G292" s="16"/>
      <c r="H292" s="19" t="str">
        <f aca="false">IF(OR(B292="",G292="Live",G292="Done"),"",IF(A292&lt;Settings!$B$5,"Overdue",""))</f>
        <v/>
      </c>
      <c r="I292" s="19" t="str">
        <f aca="false">IF(B292="","",IF(COUNTIF(Campaigns!$A$5:$A$24,B292)=0,"ID not found","OK"))</f>
        <v/>
      </c>
    </row>
    <row r="293" customFormat="false" ht="15" hidden="false" customHeight="false" outlineLevel="0" collapsed="false">
      <c r="A293" s="15"/>
      <c r="B293" s="16"/>
      <c r="C293" s="16"/>
      <c r="D293" s="16"/>
      <c r="E293" s="16"/>
      <c r="F293" s="16"/>
      <c r="G293" s="16"/>
      <c r="H293" s="19" t="str">
        <f aca="false">IF(OR(B293="",G293="Live",G293="Done"),"",IF(A293&lt;Settings!$B$5,"Overdue",""))</f>
        <v/>
      </c>
      <c r="I293" s="19" t="str">
        <f aca="false">IF(B293="","",IF(COUNTIF(Campaigns!$A$5:$A$24,B293)=0,"ID not found","OK"))</f>
        <v/>
      </c>
    </row>
    <row r="294" customFormat="false" ht="15" hidden="false" customHeight="false" outlineLevel="0" collapsed="false">
      <c r="A294" s="15"/>
      <c r="B294" s="16"/>
      <c r="C294" s="16"/>
      <c r="D294" s="16"/>
      <c r="E294" s="16"/>
      <c r="F294" s="16"/>
      <c r="G294" s="16"/>
      <c r="H294" s="19" t="str">
        <f aca="false">IF(OR(B294="",G294="Live",G294="Done"),"",IF(A294&lt;Settings!$B$5,"Overdue",""))</f>
        <v/>
      </c>
      <c r="I294" s="19" t="str">
        <f aca="false">IF(B294="","",IF(COUNTIF(Campaigns!$A$5:$A$24,B294)=0,"ID not found","OK"))</f>
        <v/>
      </c>
    </row>
    <row r="295" customFormat="false" ht="15" hidden="false" customHeight="false" outlineLevel="0" collapsed="false">
      <c r="A295" s="15"/>
      <c r="B295" s="16"/>
      <c r="C295" s="16"/>
      <c r="D295" s="16"/>
      <c r="E295" s="16"/>
      <c r="F295" s="16"/>
      <c r="G295" s="16"/>
      <c r="H295" s="19" t="str">
        <f aca="false">IF(OR(B295="",G295="Live",G295="Done"),"",IF(A295&lt;Settings!$B$5,"Overdue",""))</f>
        <v/>
      </c>
      <c r="I295" s="19" t="str">
        <f aca="false">IF(B295="","",IF(COUNTIF(Campaigns!$A$5:$A$24,B295)=0,"ID not found","OK"))</f>
        <v/>
      </c>
    </row>
    <row r="296" customFormat="false" ht="15" hidden="false" customHeight="false" outlineLevel="0" collapsed="false">
      <c r="A296" s="15"/>
      <c r="B296" s="16"/>
      <c r="C296" s="16"/>
      <c r="D296" s="16"/>
      <c r="E296" s="16"/>
      <c r="F296" s="16"/>
      <c r="G296" s="16"/>
      <c r="H296" s="19" t="str">
        <f aca="false">IF(OR(B296="",G296="Live",G296="Done"),"",IF(A296&lt;Settings!$B$5,"Overdue",""))</f>
        <v/>
      </c>
      <c r="I296" s="19" t="str">
        <f aca="false">IF(B296="","",IF(COUNTIF(Campaigns!$A$5:$A$24,B296)=0,"ID not found","OK"))</f>
        <v/>
      </c>
    </row>
    <row r="297" customFormat="false" ht="15" hidden="false" customHeight="false" outlineLevel="0" collapsed="false">
      <c r="A297" s="15"/>
      <c r="B297" s="16"/>
      <c r="C297" s="16"/>
      <c r="D297" s="16"/>
      <c r="E297" s="16"/>
      <c r="F297" s="16"/>
      <c r="G297" s="16"/>
      <c r="H297" s="19" t="str">
        <f aca="false">IF(OR(B297="",G297="Live",G297="Done"),"",IF(A297&lt;Settings!$B$5,"Overdue",""))</f>
        <v/>
      </c>
      <c r="I297" s="19" t="str">
        <f aca="false">IF(B297="","",IF(COUNTIF(Campaigns!$A$5:$A$24,B297)=0,"ID not found","OK"))</f>
        <v/>
      </c>
    </row>
    <row r="298" customFormat="false" ht="15" hidden="false" customHeight="false" outlineLevel="0" collapsed="false">
      <c r="A298" s="15"/>
      <c r="B298" s="16"/>
      <c r="C298" s="16"/>
      <c r="D298" s="16"/>
      <c r="E298" s="16"/>
      <c r="F298" s="16"/>
      <c r="G298" s="16"/>
      <c r="H298" s="19" t="str">
        <f aca="false">IF(OR(B298="",G298="Live",G298="Done"),"",IF(A298&lt;Settings!$B$5,"Overdue",""))</f>
        <v/>
      </c>
      <c r="I298" s="19" t="str">
        <f aca="false">IF(B298="","",IF(COUNTIF(Campaigns!$A$5:$A$24,B298)=0,"ID not found","OK"))</f>
        <v/>
      </c>
    </row>
    <row r="299" customFormat="false" ht="15" hidden="false" customHeight="false" outlineLevel="0" collapsed="false">
      <c r="A299" s="15"/>
      <c r="B299" s="16"/>
      <c r="C299" s="16"/>
      <c r="D299" s="16"/>
      <c r="E299" s="16"/>
      <c r="F299" s="16"/>
      <c r="G299" s="16"/>
      <c r="H299" s="19" t="str">
        <f aca="false">IF(OR(B299="",G299="Live",G299="Done"),"",IF(A299&lt;Settings!$B$5,"Overdue",""))</f>
        <v/>
      </c>
      <c r="I299" s="19" t="str">
        <f aca="false">IF(B299="","",IF(COUNTIF(Campaigns!$A$5:$A$24,B299)=0,"ID not found","OK"))</f>
        <v/>
      </c>
    </row>
    <row r="300" customFormat="false" ht="15" hidden="false" customHeight="false" outlineLevel="0" collapsed="false">
      <c r="A300" s="15"/>
      <c r="B300" s="16"/>
      <c r="C300" s="16"/>
      <c r="D300" s="16"/>
      <c r="E300" s="16"/>
      <c r="F300" s="16"/>
      <c r="G300" s="16"/>
      <c r="H300" s="19" t="str">
        <f aca="false">IF(OR(B300="",G300="Live",G300="Done"),"",IF(A300&lt;Settings!$B$5,"Overdue",""))</f>
        <v/>
      </c>
      <c r="I300" s="19" t="str">
        <f aca="false">IF(B300="","",IF(COUNTIF(Campaigns!$A$5:$A$24,B300)=0,"ID not found","OK"))</f>
        <v/>
      </c>
    </row>
    <row r="301" customFormat="false" ht="15" hidden="false" customHeight="false" outlineLevel="0" collapsed="false">
      <c r="A301" s="15"/>
      <c r="B301" s="16"/>
      <c r="C301" s="16"/>
      <c r="D301" s="16"/>
      <c r="E301" s="16"/>
      <c r="F301" s="16"/>
      <c r="G301" s="16"/>
      <c r="H301" s="19" t="str">
        <f aca="false">IF(OR(B301="",G301="Live",G301="Done"),"",IF(A301&lt;Settings!$B$5,"Overdue",""))</f>
        <v/>
      </c>
      <c r="I301" s="19" t="str">
        <f aca="false">IF(B301="","",IF(COUNTIF(Campaigns!$A$5:$A$24,B301)=0,"ID not found","OK"))</f>
        <v/>
      </c>
    </row>
    <row r="302" customFormat="false" ht="15" hidden="false" customHeight="false" outlineLevel="0" collapsed="false">
      <c r="A302" s="15"/>
      <c r="B302" s="16"/>
      <c r="C302" s="16"/>
      <c r="D302" s="16"/>
      <c r="E302" s="16"/>
      <c r="F302" s="16"/>
      <c r="G302" s="16"/>
      <c r="H302" s="19" t="str">
        <f aca="false">IF(OR(B302="",G302="Live",G302="Done"),"",IF(A302&lt;Settings!$B$5,"Overdue",""))</f>
        <v/>
      </c>
      <c r="I302" s="19" t="str">
        <f aca="false">IF(B302="","",IF(COUNTIF(Campaigns!$A$5:$A$24,B302)=0,"ID not found","OK"))</f>
        <v/>
      </c>
    </row>
    <row r="303" customFormat="false" ht="15" hidden="false" customHeight="false" outlineLevel="0" collapsed="false">
      <c r="A303" s="15"/>
      <c r="B303" s="16"/>
      <c r="C303" s="16"/>
      <c r="D303" s="16"/>
      <c r="E303" s="16"/>
      <c r="F303" s="16"/>
      <c r="G303" s="16"/>
      <c r="H303" s="19" t="str">
        <f aca="false">IF(OR(B303="",G303="Live",G303="Done"),"",IF(A303&lt;Settings!$B$5,"Overdue",""))</f>
        <v/>
      </c>
      <c r="I303" s="19" t="str">
        <f aca="false">IF(B303="","",IF(COUNTIF(Campaigns!$A$5:$A$24,B303)=0,"ID not found","OK"))</f>
        <v/>
      </c>
    </row>
    <row r="304" customFormat="false" ht="15" hidden="false" customHeight="false" outlineLevel="0" collapsed="false">
      <c r="A304" s="15"/>
      <c r="B304" s="16"/>
      <c r="C304" s="16"/>
      <c r="D304" s="16"/>
      <c r="E304" s="16"/>
      <c r="F304" s="16"/>
      <c r="G304" s="16"/>
      <c r="H304" s="19" t="str">
        <f aca="false">IF(OR(B304="",G304="Live",G304="Done"),"",IF(A304&lt;Settings!$B$5,"Overdue",""))</f>
        <v/>
      </c>
      <c r="I304" s="19" t="str">
        <f aca="false">IF(B304="","",IF(COUNTIF(Campaigns!$A$5:$A$24,B304)=0,"ID not found","OK"))</f>
        <v/>
      </c>
    </row>
  </sheetData>
  <autoFilter ref="A4:I304"/>
  <conditionalFormatting sqref="H5:H304">
    <cfRule type="cellIs" priority="2" operator="equal" aboveAverage="0" equalAverage="0" bottom="0" percent="0" rank="0" text="" dxfId="0">
      <formula>"Overdue"</formula>
    </cfRule>
  </conditionalFormatting>
  <conditionalFormatting sqref="I5:I304">
    <cfRule type="cellIs" priority="3" operator="equal" aboveAverage="0" equalAverage="0" bottom="0" percent="0" rank="0" text="" dxfId="0">
      <formula>"ID not found"</formula>
    </cfRule>
  </conditionalFormatting>
  <dataValidations count="4">
    <dataValidation allowBlank="true" error="This channel is not on the Settings list. It will be counted under Other on the Dashboard." errorStyle="warning" errorTitle="Not on the list" operator="between" showDropDown="false" showErrorMessage="false" showInputMessage="false" sqref="C5:C304" type="list">
      <formula1>Settings!$E$5:$E$8</formula1>
      <formula2>0</formula2>
    </dataValidation>
    <dataValidation allowBlank="true" error="This Campaign ID is not on the Campaigns sheet." errorStyle="warning" errorTitle="ID not on Campaigns" operator="between" showDropDown="false" showErrorMessage="false" showInputMessage="false" sqref="B5:B304" type="list">
      <formula1>Campaigns!$A$5:$A$24</formula1>
      <formula2>0</formula2>
    </dataValidation>
    <dataValidation allowBlank="true" errorStyle="stop" operator="between" showDropDown="false" showErrorMessage="false" showInputMessage="false" sqref="D5:D304" type="list">
      <formula1>"Post,Video,Email,Employee story,Web page update"</formula1>
      <formula2>0</formula2>
    </dataValidation>
    <dataValidation allowBlank="true" errorStyle="stop" operator="between" showDropDown="false" showErrorMessage="false" showInputMessage="false" sqref="G5:G304" type="list">
      <formula1>"Planned,In review,Live,Done"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4" min="3" style="0" width="16"/>
    <col collapsed="false" customWidth="true" hidden="false" outlineLevel="0" max="5" min="5" style="0" width="10"/>
    <col collapsed="false" customWidth="true" hidden="false" outlineLevel="0" max="6" min="6" style="0" width="16"/>
    <col collapsed="false" customWidth="true" hidden="false" outlineLevel="0" max="7" min="7" style="0" width="14"/>
    <col collapsed="false" customWidth="true" hidden="false" outlineLevel="0" max="8" min="8" style="0" width="28"/>
    <col collapsed="false" customWidth="true" hidden="false" outlineLevel="0" max="9" min="9" style="0" width="10"/>
    <col collapsed="false" customWidth="true" hidden="false" outlineLevel="0" max="10" min="10" style="0" width="16"/>
    <col collapsed="false" customWidth="true" hidden="false" outlineLevel="0" max="12" min="11" style="0" width="14"/>
  </cols>
  <sheetData>
    <row r="1" customFormat="false" ht="17.35" hidden="false" customHeight="false" outlineLevel="0" collapsed="false">
      <c r="A1" s="1" t="s">
        <v>13</v>
      </c>
    </row>
    <row r="2" customFormat="false" ht="15" hidden="false" customHeight="false" outlineLevel="0" collapsed="false">
      <c r="A2" s="2" t="s">
        <v>145</v>
      </c>
    </row>
    <row r="3" customFormat="false" ht="15" hidden="false" customHeight="false" outlineLevel="0" collapsed="false">
      <c r="A3" s="18" t="s">
        <v>99</v>
      </c>
    </row>
    <row r="4" customFormat="false" ht="31.5" hidden="false" customHeight="true" outlineLevel="0" collapsed="false">
      <c r="A4" s="7" t="s">
        <v>146</v>
      </c>
      <c r="B4" s="7" t="s">
        <v>62</v>
      </c>
      <c r="C4" s="7" t="s">
        <v>58</v>
      </c>
      <c r="D4" s="7" t="s">
        <v>53</v>
      </c>
      <c r="E4" s="7" t="s">
        <v>54</v>
      </c>
      <c r="F4" s="7" t="s">
        <v>55</v>
      </c>
      <c r="G4" s="7" t="s">
        <v>56</v>
      </c>
      <c r="H4" s="7" t="s">
        <v>100</v>
      </c>
      <c r="I4" s="7" t="s">
        <v>29</v>
      </c>
      <c r="J4" s="7" t="s">
        <v>31</v>
      </c>
      <c r="K4" s="7" t="s">
        <v>33</v>
      </c>
      <c r="L4" s="7" t="s">
        <v>38</v>
      </c>
    </row>
    <row r="5" customFormat="false" ht="15" hidden="false" customHeight="false" outlineLevel="0" collapsed="false">
      <c r="A5" s="15" t="n">
        <v>46272</v>
      </c>
      <c r="B5" s="16" t="s">
        <v>105</v>
      </c>
      <c r="C5" s="16" t="s">
        <v>90</v>
      </c>
      <c r="D5" s="20" t="n">
        <v>7266</v>
      </c>
      <c r="E5" s="20" t="n">
        <v>145</v>
      </c>
      <c r="F5" s="20" t="n">
        <v>135</v>
      </c>
      <c r="G5" s="20" t="n">
        <v>10</v>
      </c>
      <c r="H5" s="10" t="str">
        <f aca="false">IF(B5="","",IFERROR(INDEX(Campaigns!$B$5:$B$24,MATCH(B5,Campaigns!$A$5:$A$24,0)),"ID not found"))</f>
        <v>Graduate Hiring Drive</v>
      </c>
      <c r="I5" s="9" t="n">
        <f aca="false">IF(AND(B5&lt;&gt;"",D5&gt;0),E5/D5,"")</f>
        <v>0.0199559592623176</v>
      </c>
      <c r="J5" s="9" t="n">
        <f aca="false">IF(AND(B5&lt;&gt;"",F5&gt;0),G5/F5,"")</f>
        <v>0.0740740740740741</v>
      </c>
      <c r="K5" s="19" t="str">
        <f aca="false">IF(OR(I5="",J5=""),"",IF(AND(I5&gt;=Settings!$B$6,J5&gt;=Settings!$B$7),"On target","Below target"))</f>
        <v>Below target</v>
      </c>
      <c r="L5" s="19" t="str">
        <f aca="false">IF(B5="","",IF(OR(E5&gt;D5,G5&gt;F5,D5&lt;0,E5&lt;0,F5&lt;0,G5&lt;0),"Check numbers","OK"))</f>
        <v>OK</v>
      </c>
    </row>
    <row r="6" customFormat="false" ht="15" hidden="false" customHeight="false" outlineLevel="0" collapsed="false">
      <c r="A6" s="15" t="n">
        <v>46272</v>
      </c>
      <c r="B6" s="16" t="s">
        <v>109</v>
      </c>
      <c r="C6" s="16" t="s">
        <v>93</v>
      </c>
      <c r="D6" s="20" t="n">
        <v>2508</v>
      </c>
      <c r="E6" s="20" t="n">
        <v>27</v>
      </c>
      <c r="F6" s="20" t="n">
        <v>25</v>
      </c>
      <c r="G6" s="20" t="n">
        <v>0</v>
      </c>
      <c r="H6" s="10" t="str">
        <f aca="false">IF(B6="","",IFERROR(INDEX(Campaigns!$B$5:$B$24,MATCH(B6,Campaigns!$A$5:$A$24,0)),"ID not found"))</f>
        <v>Employee Stories Series</v>
      </c>
      <c r="I6" s="9" t="n">
        <f aca="false">IF(AND(B6&lt;&gt;"",D6&gt;0),E6/D6,"")</f>
        <v>0.0107655502392345</v>
      </c>
      <c r="J6" s="9" t="n">
        <f aca="false">IF(AND(B6&lt;&gt;"",F6&gt;0),G6/F6,"")</f>
        <v>0</v>
      </c>
      <c r="K6" s="19" t="str">
        <f aca="false">IF(OR(I6="",J6=""),"",IF(AND(I6&gt;=Settings!$B$6,J6&gt;=Settings!$B$7),"On target","Below target"))</f>
        <v>Below target</v>
      </c>
      <c r="L6" s="19" t="str">
        <f aca="false">IF(B6="","",IF(OR(E6&gt;D6,G6&gt;F6,D6&lt;0,E6&lt;0,F6&lt;0,G6&lt;0),"Check numbers","OK"))</f>
        <v>OK</v>
      </c>
    </row>
    <row r="7" customFormat="false" ht="15" hidden="false" customHeight="false" outlineLevel="0" collapsed="false">
      <c r="A7" s="15" t="n">
        <v>46272</v>
      </c>
      <c r="B7" s="16" t="s">
        <v>112</v>
      </c>
      <c r="C7" s="16" t="s">
        <v>95</v>
      </c>
      <c r="D7" s="20" t="n">
        <v>8651</v>
      </c>
      <c r="E7" s="20" t="n">
        <v>538</v>
      </c>
      <c r="F7" s="20" t="n">
        <v>413</v>
      </c>
      <c r="G7" s="20" t="n">
        <v>8</v>
      </c>
      <c r="H7" s="10" t="str">
        <f aca="false">IF(B7="","",IFERROR(INDEX(Campaigns!$B$5:$B$24,MATCH(B7,Campaigns!$A$5:$A$24,0)),"ID not found"))</f>
        <v>Campus Careers Week</v>
      </c>
      <c r="I7" s="9" t="n">
        <f aca="false">IF(AND(B7&lt;&gt;"",D7&gt;0),E7/D7,"")</f>
        <v>0.0621893422725696</v>
      </c>
      <c r="J7" s="9" t="n">
        <f aca="false">IF(AND(B7&lt;&gt;"",F7&gt;0),G7/F7,"")</f>
        <v>0.0193704600484262</v>
      </c>
      <c r="K7" s="19" t="str">
        <f aca="false">IF(OR(I7="",J7=""),"",IF(AND(I7&gt;=Settings!$B$6,J7&gt;=Settings!$B$7),"On target","Below target"))</f>
        <v>Below target</v>
      </c>
      <c r="L7" s="19" t="str">
        <f aca="false">IF(B7="","",IF(OR(E7&gt;D7,G7&gt;F7,D7&lt;0,E7&lt;0,F7&lt;0,G7&lt;0),"Check numbers","OK"))</f>
        <v>OK</v>
      </c>
    </row>
    <row r="8" customFormat="false" ht="15" hidden="false" customHeight="false" outlineLevel="0" collapsed="false">
      <c r="A8" s="15" t="n">
        <v>46272</v>
      </c>
      <c r="B8" s="16" t="s">
        <v>116</v>
      </c>
      <c r="C8" s="16" t="s">
        <v>96</v>
      </c>
      <c r="D8" s="20" t="n">
        <v>12812</v>
      </c>
      <c r="E8" s="20" t="n">
        <v>291</v>
      </c>
      <c r="F8" s="20" t="n">
        <v>248</v>
      </c>
      <c r="G8" s="20" t="n">
        <v>9</v>
      </c>
      <c r="H8" s="10" t="str">
        <f aca="false">IF(B8="","",IFERROR(INDEX(Campaigns!$B$5:$B$24,MATCH(B8,Campaigns!$A$5:$A$24,0)),"ID not found"))</f>
        <v>Careers Site Refresh</v>
      </c>
      <c r="I8" s="9" t="n">
        <f aca="false">IF(AND(B8&lt;&gt;"",D8&gt;0),E8/D8,"")</f>
        <v>0.0227130814861068</v>
      </c>
      <c r="J8" s="9" t="n">
        <f aca="false">IF(AND(B8&lt;&gt;"",F8&gt;0),G8/F8,"")</f>
        <v>0.0362903225806452</v>
      </c>
      <c r="K8" s="19" t="str">
        <f aca="false">IF(OR(I8="",J8=""),"",IF(AND(I8&gt;=Settings!$B$6,J8&gt;=Settings!$B$7),"On target","Below target"))</f>
        <v>Below target</v>
      </c>
      <c r="L8" s="19" t="str">
        <f aca="false">IF(B8="","",IF(OR(E8&gt;D8,G8&gt;F8,D8&lt;0,E8&lt;0,F8&lt;0,G8&lt;0),"Check numbers","OK"))</f>
        <v>OK</v>
      </c>
    </row>
    <row r="9" customFormat="false" ht="15" hidden="false" customHeight="false" outlineLevel="0" collapsed="false">
      <c r="A9" s="15" t="n">
        <v>46279</v>
      </c>
      <c r="B9" s="16" t="s">
        <v>105</v>
      </c>
      <c r="C9" s="16" t="s">
        <v>93</v>
      </c>
      <c r="D9" s="20" t="n">
        <v>7598</v>
      </c>
      <c r="E9" s="20" t="n">
        <v>92</v>
      </c>
      <c r="F9" s="20" t="n">
        <v>86</v>
      </c>
      <c r="G9" s="20" t="n">
        <v>5</v>
      </c>
      <c r="H9" s="10" t="str">
        <f aca="false">IF(B9="","",IFERROR(INDEX(Campaigns!$B$5:$B$24,MATCH(B9,Campaigns!$A$5:$A$24,0)),"ID not found"))</f>
        <v>Graduate Hiring Drive</v>
      </c>
      <c r="I9" s="9" t="n">
        <f aca="false">IF(AND(B9&lt;&gt;"",D9&gt;0),E9/D9,"")</f>
        <v>0.0121084495919979</v>
      </c>
      <c r="J9" s="9" t="n">
        <f aca="false">IF(AND(B9&lt;&gt;"",F9&gt;0),G9/F9,"")</f>
        <v>0.0581395348837209</v>
      </c>
      <c r="K9" s="19" t="str">
        <f aca="false">IF(OR(I9="",J9=""),"",IF(AND(I9&gt;=Settings!$B$6,J9&gt;=Settings!$B$7),"On target","Below target"))</f>
        <v>Below target</v>
      </c>
      <c r="L9" s="19" t="str">
        <f aca="false">IF(B9="","",IF(OR(E9&gt;D9,G9&gt;F9,D9&lt;0,E9&lt;0,F9&lt;0,G9&lt;0),"Check numbers","OK"))</f>
        <v>OK</v>
      </c>
    </row>
    <row r="10" customFormat="false" ht="15" hidden="false" customHeight="false" outlineLevel="0" collapsed="false">
      <c r="A10" s="15" t="n">
        <v>46279</v>
      </c>
      <c r="B10" s="16" t="s">
        <v>109</v>
      </c>
      <c r="C10" s="16" t="s">
        <v>95</v>
      </c>
      <c r="D10" s="20" t="n">
        <v>4433</v>
      </c>
      <c r="E10" s="20" t="n">
        <v>141</v>
      </c>
      <c r="F10" s="20" t="n">
        <v>121</v>
      </c>
      <c r="G10" s="20" t="n">
        <v>1</v>
      </c>
      <c r="H10" s="10" t="str">
        <f aca="false">IF(B10="","",IFERROR(INDEX(Campaigns!$B$5:$B$24,MATCH(B10,Campaigns!$A$5:$A$24,0)),"ID not found"))</f>
        <v>Employee Stories Series</v>
      </c>
      <c r="I10" s="9" t="n">
        <f aca="false">IF(AND(B10&lt;&gt;"",D10&gt;0),E10/D10,"")</f>
        <v>0.0318069027746447</v>
      </c>
      <c r="J10" s="9" t="n">
        <f aca="false">IF(AND(B10&lt;&gt;"",F10&gt;0),G10/F10,"")</f>
        <v>0.00826446280991736</v>
      </c>
      <c r="K10" s="19" t="str">
        <f aca="false">IF(OR(I10="",J10=""),"",IF(AND(I10&gt;=Settings!$B$6,J10&gt;=Settings!$B$7),"On target","Below target"))</f>
        <v>Below target</v>
      </c>
      <c r="L10" s="19" t="str">
        <f aca="false">IF(B10="","",IF(OR(E10&gt;D10,G10&gt;F10,D10&lt;0,E10&lt;0,F10&lt;0,G10&lt;0),"Check numbers","OK"))</f>
        <v>OK</v>
      </c>
    </row>
    <row r="11" customFormat="false" ht="15" hidden="false" customHeight="false" outlineLevel="0" collapsed="false">
      <c r="A11" s="15" t="n">
        <v>46279</v>
      </c>
      <c r="B11" s="16" t="s">
        <v>112</v>
      </c>
      <c r="C11" s="16" t="s">
        <v>96</v>
      </c>
      <c r="D11" s="20" t="n">
        <v>10117</v>
      </c>
      <c r="E11" s="20" t="n">
        <v>375</v>
      </c>
      <c r="F11" s="20" t="n">
        <v>263</v>
      </c>
      <c r="G11" s="20" t="n">
        <v>14</v>
      </c>
      <c r="H11" s="10" t="str">
        <f aca="false">IF(B11="","",IFERROR(INDEX(Campaigns!$B$5:$B$24,MATCH(B11,Campaigns!$A$5:$A$24,0)),"ID not found"))</f>
        <v>Campus Careers Week</v>
      </c>
      <c r="I11" s="9" t="n">
        <f aca="false">IF(AND(B11&lt;&gt;"",D11&gt;0),E11/D11,"")</f>
        <v>0.0370663240090936</v>
      </c>
      <c r="J11" s="9" t="n">
        <f aca="false">IF(AND(B11&lt;&gt;"",F11&gt;0),G11/F11,"")</f>
        <v>0.0532319391634981</v>
      </c>
      <c r="K11" s="19" t="str">
        <f aca="false">IF(OR(I11="",J11=""),"",IF(AND(I11&gt;=Settings!$B$6,J11&gt;=Settings!$B$7),"On target","Below target"))</f>
        <v>On target</v>
      </c>
      <c r="L11" s="19" t="str">
        <f aca="false">IF(B11="","",IF(OR(E11&gt;D11,G11&gt;F11,D11&lt;0,E11&lt;0,F11&lt;0,G11&lt;0),"Check numbers","OK"))</f>
        <v>OK</v>
      </c>
    </row>
    <row r="12" customFormat="false" ht="15" hidden="false" customHeight="false" outlineLevel="0" collapsed="false">
      <c r="A12" s="15" t="n">
        <v>46279</v>
      </c>
      <c r="B12" s="16" t="s">
        <v>116</v>
      </c>
      <c r="C12" s="16" t="s">
        <v>90</v>
      </c>
      <c r="D12" s="20" t="n">
        <v>9830</v>
      </c>
      <c r="E12" s="20" t="n">
        <v>217</v>
      </c>
      <c r="F12" s="20" t="n">
        <v>205</v>
      </c>
      <c r="G12" s="20" t="n">
        <v>14</v>
      </c>
      <c r="H12" s="10" t="str">
        <f aca="false">IF(B12="","",IFERROR(INDEX(Campaigns!$B$5:$B$24,MATCH(B12,Campaigns!$A$5:$A$24,0)),"ID not found"))</f>
        <v>Careers Site Refresh</v>
      </c>
      <c r="I12" s="9" t="n">
        <f aca="false">IF(AND(B12&lt;&gt;"",D12&gt;0),E12/D12,"")</f>
        <v>0.0220752797558494</v>
      </c>
      <c r="J12" s="9" t="n">
        <f aca="false">IF(AND(B12&lt;&gt;"",F12&gt;0),G12/F12,"")</f>
        <v>0.0682926829268293</v>
      </c>
      <c r="K12" s="19" t="str">
        <f aca="false">IF(OR(I12="",J12=""),"",IF(AND(I12&gt;=Settings!$B$6,J12&gt;=Settings!$B$7),"On target","Below target"))</f>
        <v>On target</v>
      </c>
      <c r="L12" s="19" t="str">
        <f aca="false">IF(B12="","",IF(OR(E12&gt;D12,G12&gt;F12,D12&lt;0,E12&lt;0,F12&lt;0,G12&lt;0),"Check numbers","OK"))</f>
        <v>OK</v>
      </c>
    </row>
    <row r="13" customFormat="false" ht="15" hidden="false" customHeight="false" outlineLevel="0" collapsed="false">
      <c r="A13" s="15" t="n">
        <v>46286</v>
      </c>
      <c r="B13" s="16" t="s">
        <v>105</v>
      </c>
      <c r="C13" s="16" t="s">
        <v>95</v>
      </c>
      <c r="D13" s="20" t="n">
        <v>9368</v>
      </c>
      <c r="E13" s="20" t="n">
        <v>470</v>
      </c>
      <c r="F13" s="20" t="n">
        <v>321</v>
      </c>
      <c r="G13" s="20" t="n">
        <v>14</v>
      </c>
      <c r="H13" s="10" t="str">
        <f aca="false">IF(B13="","",IFERROR(INDEX(Campaigns!$B$5:$B$24,MATCH(B13,Campaigns!$A$5:$A$24,0)),"ID not found"))</f>
        <v>Graduate Hiring Drive</v>
      </c>
      <c r="I13" s="9" t="n">
        <f aca="false">IF(AND(B13&lt;&gt;"",D13&gt;0),E13/D13,"")</f>
        <v>0.0501707941929974</v>
      </c>
      <c r="J13" s="9" t="n">
        <f aca="false">IF(AND(B13&lt;&gt;"",F13&gt;0),G13/F13,"")</f>
        <v>0.043613707165109</v>
      </c>
      <c r="K13" s="19" t="str">
        <f aca="false">IF(OR(I13="",J13=""),"",IF(AND(I13&gt;=Settings!$B$6,J13&gt;=Settings!$B$7),"On target","Below target"))</f>
        <v>On target</v>
      </c>
      <c r="L13" s="19" t="str">
        <f aca="false">IF(B13="","",IF(OR(E13&gt;D13,G13&gt;F13,D13&lt;0,E13&lt;0,F13&lt;0,G13&lt;0),"Check numbers","OK"))</f>
        <v>OK</v>
      </c>
    </row>
    <row r="14" customFormat="false" ht="15" hidden="false" customHeight="false" outlineLevel="0" collapsed="false">
      <c r="A14" s="15" t="n">
        <v>46286</v>
      </c>
      <c r="B14" s="16" t="s">
        <v>109</v>
      </c>
      <c r="C14" s="16" t="s">
        <v>96</v>
      </c>
      <c r="D14" s="20" t="n">
        <v>5987</v>
      </c>
      <c r="E14" s="20" t="n">
        <v>107</v>
      </c>
      <c r="F14" s="20" t="n">
        <v>97</v>
      </c>
      <c r="G14" s="20" t="n">
        <v>8</v>
      </c>
      <c r="H14" s="10" t="str">
        <f aca="false">IF(B14="","",IFERROR(INDEX(Campaigns!$B$5:$B$24,MATCH(B14,Campaigns!$A$5:$A$24,0)),"ID not found"))</f>
        <v>Employee Stories Series</v>
      </c>
      <c r="I14" s="9" t="n">
        <f aca="false">IF(AND(B14&lt;&gt;"",D14&gt;0),E14/D14,"")</f>
        <v>0.0178720561215968</v>
      </c>
      <c r="J14" s="9" t="n">
        <f aca="false">IF(AND(B14&lt;&gt;"",F14&gt;0),G14/F14,"")</f>
        <v>0.0824742268041237</v>
      </c>
      <c r="K14" s="19" t="str">
        <f aca="false">IF(OR(I14="",J14=""),"",IF(AND(I14&gt;=Settings!$B$6,J14&gt;=Settings!$B$7),"On target","Below target"))</f>
        <v>Below target</v>
      </c>
      <c r="L14" s="19" t="str">
        <f aca="false">IF(B14="","",IF(OR(E14&gt;D14,G14&gt;F14,D14&lt;0,E14&lt;0,F14&lt;0,G14&lt;0),"Check numbers","OK"))</f>
        <v>OK</v>
      </c>
    </row>
    <row r="15" customFormat="false" ht="15" hidden="false" customHeight="false" outlineLevel="0" collapsed="false">
      <c r="A15" s="15" t="n">
        <v>46286</v>
      </c>
      <c r="B15" s="16" t="s">
        <v>112</v>
      </c>
      <c r="C15" s="16" t="s">
        <v>90</v>
      </c>
      <c r="D15" s="20" t="n">
        <v>12211</v>
      </c>
      <c r="E15" s="20" t="n">
        <v>226</v>
      </c>
      <c r="F15" s="20" t="n">
        <v>206</v>
      </c>
      <c r="G15" s="20" t="n">
        <v>6</v>
      </c>
      <c r="H15" s="10" t="str">
        <f aca="false">IF(B15="","",IFERROR(INDEX(Campaigns!$B$5:$B$24,MATCH(B15,Campaigns!$A$5:$A$24,0)),"ID not found"))</f>
        <v>Campus Careers Week</v>
      </c>
      <c r="I15" s="9" t="n">
        <f aca="false">IF(AND(B15&lt;&gt;"",D15&gt;0),E15/D15,"")</f>
        <v>0.0185079027106707</v>
      </c>
      <c r="J15" s="9" t="n">
        <f aca="false">IF(AND(B15&lt;&gt;"",F15&gt;0),G15/F15,"")</f>
        <v>0.029126213592233</v>
      </c>
      <c r="K15" s="19" t="str">
        <f aca="false">IF(OR(I15="",J15=""),"",IF(AND(I15&gt;=Settings!$B$6,J15&gt;=Settings!$B$7),"On target","Below target"))</f>
        <v>Below target</v>
      </c>
      <c r="L15" s="19" t="str">
        <f aca="false">IF(B15="","",IF(OR(E15&gt;D15,G15&gt;F15,D15&lt;0,E15&lt;0,F15&lt;0,G15&lt;0),"Check numbers","OK"))</f>
        <v>OK</v>
      </c>
    </row>
    <row r="16" customFormat="false" ht="15" hidden="false" customHeight="false" outlineLevel="0" collapsed="false">
      <c r="A16" s="15" t="n">
        <v>46286</v>
      </c>
      <c r="B16" s="16" t="s">
        <v>116</v>
      </c>
      <c r="C16" s="16" t="s">
        <v>93</v>
      </c>
      <c r="D16" s="20" t="n">
        <v>8959</v>
      </c>
      <c r="E16" s="20" t="n">
        <v>175</v>
      </c>
      <c r="F16" s="20" t="n">
        <v>145</v>
      </c>
      <c r="G16" s="20" t="n">
        <v>8</v>
      </c>
      <c r="H16" s="10" t="str">
        <f aca="false">IF(B16="","",IFERROR(INDEX(Campaigns!$B$5:$B$24,MATCH(B16,Campaigns!$A$5:$A$24,0)),"ID not found"))</f>
        <v>Careers Site Refresh</v>
      </c>
      <c r="I16" s="9" t="n">
        <f aca="false">IF(AND(B16&lt;&gt;"",D16&gt;0),E16/D16,"")</f>
        <v>0.0195334300703203</v>
      </c>
      <c r="J16" s="9" t="n">
        <f aca="false">IF(AND(B16&lt;&gt;"",F16&gt;0),G16/F16,"")</f>
        <v>0.0551724137931035</v>
      </c>
      <c r="K16" s="19" t="str">
        <f aca="false">IF(OR(I16="",J16=""),"",IF(AND(I16&gt;=Settings!$B$6,J16&gt;=Settings!$B$7),"On target","Below target"))</f>
        <v>Below target</v>
      </c>
      <c r="L16" s="19" t="str">
        <f aca="false">IF(B16="","",IF(OR(E16&gt;D16,G16&gt;F16,D16&lt;0,E16&lt;0,F16&lt;0,G16&lt;0),"Check numbers","OK"))</f>
        <v>OK</v>
      </c>
    </row>
    <row r="17" customFormat="false" ht="15" hidden="false" customHeight="false" outlineLevel="0" collapsed="false">
      <c r="A17" s="15" t="n">
        <v>46293</v>
      </c>
      <c r="B17" s="16" t="s">
        <v>105</v>
      </c>
      <c r="C17" s="16" t="s">
        <v>96</v>
      </c>
      <c r="D17" s="20" t="n">
        <v>3189</v>
      </c>
      <c r="E17" s="20" t="n">
        <v>133</v>
      </c>
      <c r="F17" s="20" t="n">
        <v>94</v>
      </c>
      <c r="G17" s="20" t="n">
        <v>3</v>
      </c>
      <c r="H17" s="10" t="str">
        <f aca="false">IF(B17="","",IFERROR(INDEX(Campaigns!$B$5:$B$24,MATCH(B17,Campaigns!$A$5:$A$24,0)),"ID not found"))</f>
        <v>Graduate Hiring Drive</v>
      </c>
      <c r="I17" s="9" t="n">
        <f aca="false">IF(AND(B17&lt;&gt;"",D17&gt;0),E17/D17,"")</f>
        <v>0.0417058639071809</v>
      </c>
      <c r="J17" s="9" t="n">
        <f aca="false">IF(AND(B17&lt;&gt;"",F17&gt;0),G17/F17,"")</f>
        <v>0.0319148936170213</v>
      </c>
      <c r="K17" s="19" t="str">
        <f aca="false">IF(OR(I17="",J17=""),"",IF(AND(I17&gt;=Settings!$B$6,J17&gt;=Settings!$B$7),"On target","Below target"))</f>
        <v>Below target</v>
      </c>
      <c r="L17" s="19" t="str">
        <f aca="false">IF(B17="","",IF(OR(E17&gt;D17,G17&gt;F17,D17&lt;0,E17&lt;0,F17&lt;0,G17&lt;0),"Check numbers","OK"))</f>
        <v>OK</v>
      </c>
    </row>
    <row r="18" customFormat="false" ht="15" hidden="false" customHeight="false" outlineLevel="0" collapsed="false">
      <c r="A18" s="15" t="n">
        <v>46293</v>
      </c>
      <c r="B18" s="16" t="s">
        <v>109</v>
      </c>
      <c r="C18" s="16" t="s">
        <v>90</v>
      </c>
      <c r="D18" s="20" t="n">
        <v>15159</v>
      </c>
      <c r="E18" s="20" t="n">
        <v>362</v>
      </c>
      <c r="F18" s="20" t="n">
        <v>325</v>
      </c>
      <c r="G18" s="20" t="n">
        <v>13</v>
      </c>
      <c r="H18" s="10" t="str">
        <f aca="false">IF(B18="","",IFERROR(INDEX(Campaigns!$B$5:$B$24,MATCH(B18,Campaigns!$A$5:$A$24,0)),"ID not found"))</f>
        <v>Employee Stories Series</v>
      </c>
      <c r="I18" s="9" t="n">
        <f aca="false">IF(AND(B18&lt;&gt;"",D18&gt;0),E18/D18,"")</f>
        <v>0.0238802031796293</v>
      </c>
      <c r="J18" s="9" t="n">
        <f aca="false">IF(AND(B18&lt;&gt;"",F18&gt;0),G18/F18,"")</f>
        <v>0.04</v>
      </c>
      <c r="K18" s="19" t="str">
        <f aca="false">IF(OR(I18="",J18=""),"",IF(AND(I18&gt;=Settings!$B$6,J18&gt;=Settings!$B$7),"On target","Below target"))</f>
        <v>On target</v>
      </c>
      <c r="L18" s="19" t="str">
        <f aca="false">IF(B18="","",IF(OR(E18&gt;D18,G18&gt;F18,D18&lt;0,E18&lt;0,F18&lt;0,G18&lt;0),"Check numbers","OK"))</f>
        <v>OK</v>
      </c>
    </row>
    <row r="19" customFormat="false" ht="15" hidden="false" customHeight="false" outlineLevel="0" collapsed="false">
      <c r="A19" s="15" t="n">
        <v>46293</v>
      </c>
      <c r="B19" s="16" t="s">
        <v>112</v>
      </c>
      <c r="C19" s="16" t="s">
        <v>93</v>
      </c>
      <c r="D19" s="20" t="n">
        <v>3717</v>
      </c>
      <c r="E19" s="20" t="n">
        <v>34</v>
      </c>
      <c r="F19" s="20" t="n">
        <v>28</v>
      </c>
      <c r="G19" s="20" t="n">
        <v>0</v>
      </c>
      <c r="H19" s="10" t="str">
        <f aca="false">IF(B19="","",IFERROR(INDEX(Campaigns!$B$5:$B$24,MATCH(B19,Campaigns!$A$5:$A$24,0)),"ID not found"))</f>
        <v>Campus Careers Week</v>
      </c>
      <c r="I19" s="9" t="n">
        <f aca="false">IF(AND(B19&lt;&gt;"",D19&gt;0),E19/D19,"")</f>
        <v>0.00914716168953457</v>
      </c>
      <c r="J19" s="9" t="n">
        <f aca="false">IF(AND(B19&lt;&gt;"",F19&gt;0),G19/F19,"")</f>
        <v>0</v>
      </c>
      <c r="K19" s="19" t="str">
        <f aca="false">IF(OR(I19="",J19=""),"",IF(AND(I19&gt;=Settings!$B$6,J19&gt;=Settings!$B$7),"On target","Below target"))</f>
        <v>Below target</v>
      </c>
      <c r="L19" s="19" t="str">
        <f aca="false">IF(B19="","",IF(OR(E19&gt;D19,G19&gt;F19,D19&lt;0,E19&lt;0,F19&lt;0,G19&lt;0),"Check numbers","OK"))</f>
        <v>OK</v>
      </c>
    </row>
    <row r="20" customFormat="false" ht="15" hidden="false" customHeight="false" outlineLevel="0" collapsed="false">
      <c r="A20" s="15" t="n">
        <v>46293</v>
      </c>
      <c r="B20" s="16" t="s">
        <v>116</v>
      </c>
      <c r="C20" s="16" t="s">
        <v>95</v>
      </c>
      <c r="D20" s="20" t="n">
        <v>12351</v>
      </c>
      <c r="E20" s="20" t="n">
        <v>497</v>
      </c>
      <c r="F20" s="20" t="n">
        <v>415</v>
      </c>
      <c r="G20" s="20" t="n">
        <v>9</v>
      </c>
      <c r="H20" s="10" t="str">
        <f aca="false">IF(B20="","",IFERROR(INDEX(Campaigns!$B$5:$B$24,MATCH(B20,Campaigns!$A$5:$A$24,0)),"ID not found"))</f>
        <v>Careers Site Refresh</v>
      </c>
      <c r="I20" s="9" t="n">
        <f aca="false">IF(AND(B20&lt;&gt;"",D20&gt;0),E20/D20,"")</f>
        <v>0.0402396567079589</v>
      </c>
      <c r="J20" s="9" t="n">
        <f aca="false">IF(AND(B20&lt;&gt;"",F20&gt;0),G20/F20,"")</f>
        <v>0.0216867469879518</v>
      </c>
      <c r="K20" s="19" t="str">
        <f aca="false">IF(OR(I20="",J20=""),"",IF(AND(I20&gt;=Settings!$B$6,J20&gt;=Settings!$B$7),"On target","Below target"))</f>
        <v>Below target</v>
      </c>
      <c r="L20" s="19" t="str">
        <f aca="false">IF(B20="","",IF(OR(E20&gt;D20,G20&gt;F20,D20&lt;0,E20&lt;0,F20&lt;0,G20&lt;0),"Check numbers","OK"))</f>
        <v>OK</v>
      </c>
    </row>
    <row r="21" customFormat="false" ht="15" hidden="false" customHeight="false" outlineLevel="0" collapsed="false">
      <c r="A21" s="15" t="n">
        <v>46300</v>
      </c>
      <c r="B21" s="16" t="s">
        <v>105</v>
      </c>
      <c r="C21" s="16" t="s">
        <v>90</v>
      </c>
      <c r="D21" s="20" t="n">
        <v>12121</v>
      </c>
      <c r="E21" s="20" t="n">
        <v>263</v>
      </c>
      <c r="F21" s="20" t="n">
        <v>216</v>
      </c>
      <c r="G21" s="20" t="n">
        <v>16</v>
      </c>
      <c r="H21" s="10" t="str">
        <f aca="false">IF(B21="","",IFERROR(INDEX(Campaigns!$B$5:$B$24,MATCH(B21,Campaigns!$A$5:$A$24,0)),"ID not found"))</f>
        <v>Graduate Hiring Drive</v>
      </c>
      <c r="I21" s="9" t="n">
        <f aca="false">IF(AND(B21&lt;&gt;"",D21&gt;0),E21/D21,"")</f>
        <v>0.021697879712895</v>
      </c>
      <c r="J21" s="9" t="n">
        <f aca="false">IF(AND(B21&lt;&gt;"",F21&gt;0),G21/F21,"")</f>
        <v>0.0740740740740741</v>
      </c>
      <c r="K21" s="19" t="str">
        <f aca="false">IF(OR(I21="",J21=""),"",IF(AND(I21&gt;=Settings!$B$6,J21&gt;=Settings!$B$7),"On target","Below target"))</f>
        <v>On target</v>
      </c>
      <c r="L21" s="19" t="str">
        <f aca="false">IF(B21="","",IF(OR(E21&gt;D21,G21&gt;F21,D21&lt;0,E21&lt;0,F21&lt;0,G21&lt;0),"Check numbers","OK"))</f>
        <v>OK</v>
      </c>
    </row>
    <row r="22" customFormat="false" ht="15" hidden="false" customHeight="false" outlineLevel="0" collapsed="false">
      <c r="A22" s="15" t="n">
        <v>46300</v>
      </c>
      <c r="B22" s="16" t="s">
        <v>109</v>
      </c>
      <c r="C22" s="16" t="s">
        <v>93</v>
      </c>
      <c r="D22" s="20" t="n">
        <v>5495</v>
      </c>
      <c r="E22" s="20" t="n">
        <v>84</v>
      </c>
      <c r="F22" s="20" t="n">
        <v>62</v>
      </c>
      <c r="G22" s="20" t="n">
        <v>1</v>
      </c>
      <c r="H22" s="10" t="str">
        <f aca="false">IF(B22="","",IFERROR(INDEX(Campaigns!$B$5:$B$24,MATCH(B22,Campaigns!$A$5:$A$24,0)),"ID not found"))</f>
        <v>Employee Stories Series</v>
      </c>
      <c r="I22" s="9" t="n">
        <f aca="false">IF(AND(B22&lt;&gt;"",D22&gt;0),E22/D22,"")</f>
        <v>0.0152866242038217</v>
      </c>
      <c r="J22" s="9" t="n">
        <f aca="false">IF(AND(B22&lt;&gt;"",F22&gt;0),G22/F22,"")</f>
        <v>0.0161290322580645</v>
      </c>
      <c r="K22" s="19" t="str">
        <f aca="false">IF(OR(I22="",J22=""),"",IF(AND(I22&gt;=Settings!$B$6,J22&gt;=Settings!$B$7),"On target","Below target"))</f>
        <v>Below target</v>
      </c>
      <c r="L22" s="19" t="str">
        <f aca="false">IF(B22="","",IF(OR(E22&gt;D22,G22&gt;F22,D22&lt;0,E22&lt;0,F22&lt;0,G22&lt;0),"Check numbers","OK"))</f>
        <v>OK</v>
      </c>
    </row>
    <row r="23" customFormat="false" ht="15" hidden="false" customHeight="false" outlineLevel="0" collapsed="false">
      <c r="A23" s="15" t="n">
        <v>46300</v>
      </c>
      <c r="B23" s="16" t="s">
        <v>112</v>
      </c>
      <c r="C23" s="16" t="s">
        <v>95</v>
      </c>
      <c r="D23" s="20" t="n">
        <v>12501</v>
      </c>
      <c r="E23" s="20" t="n">
        <v>449</v>
      </c>
      <c r="F23" s="20" t="n">
        <v>317</v>
      </c>
      <c r="G23" s="20" t="n">
        <v>21</v>
      </c>
      <c r="H23" s="10" t="str">
        <f aca="false">IF(B23="","",IFERROR(INDEX(Campaigns!$B$5:$B$24,MATCH(B23,Campaigns!$A$5:$A$24,0)),"ID not found"))</f>
        <v>Campus Careers Week</v>
      </c>
      <c r="I23" s="9" t="n">
        <f aca="false">IF(AND(B23&lt;&gt;"",D23&gt;0),E23/D23,"")</f>
        <v>0.0359171266298696</v>
      </c>
      <c r="J23" s="9" t="n">
        <f aca="false">IF(AND(B23&lt;&gt;"",F23&gt;0),G23/F23,"")</f>
        <v>0.0662460567823344</v>
      </c>
      <c r="K23" s="19" t="str">
        <f aca="false">IF(OR(I23="",J23=""),"",IF(AND(I23&gt;=Settings!$B$6,J23&gt;=Settings!$B$7),"On target","Below target"))</f>
        <v>On target</v>
      </c>
      <c r="L23" s="19" t="str">
        <f aca="false">IF(B23="","",IF(OR(E23&gt;D23,G23&gt;F23,D23&lt;0,E23&lt;0,F23&lt;0,G23&lt;0),"Check numbers","OK"))</f>
        <v>OK</v>
      </c>
    </row>
    <row r="24" customFormat="false" ht="15" hidden="false" customHeight="false" outlineLevel="0" collapsed="false">
      <c r="A24" s="15" t="n">
        <v>46300</v>
      </c>
      <c r="B24" s="16" t="s">
        <v>116</v>
      </c>
      <c r="C24" s="16" t="s">
        <v>96</v>
      </c>
      <c r="D24" s="20" t="n">
        <v>11575</v>
      </c>
      <c r="E24" s="20" t="n">
        <v>262</v>
      </c>
      <c r="F24" s="20" t="n">
        <v>244</v>
      </c>
      <c r="G24" s="20" t="n">
        <v>18</v>
      </c>
      <c r="H24" s="10" t="str">
        <f aca="false">IF(B24="","",IFERROR(INDEX(Campaigns!$B$5:$B$24,MATCH(B24,Campaigns!$A$5:$A$24,0)),"ID not found"))</f>
        <v>Careers Site Refresh</v>
      </c>
      <c r="I24" s="9" t="n">
        <f aca="false">IF(AND(B24&lt;&gt;"",D24&gt;0),E24/D24,"")</f>
        <v>0.0226349892008639</v>
      </c>
      <c r="J24" s="9" t="n">
        <f aca="false">IF(AND(B24&lt;&gt;"",F24&gt;0),G24/F24,"")</f>
        <v>0.0737704918032787</v>
      </c>
      <c r="K24" s="19" t="str">
        <f aca="false">IF(OR(I24="",J24=""),"",IF(AND(I24&gt;=Settings!$B$6,J24&gt;=Settings!$B$7),"On target","Below target"))</f>
        <v>On target</v>
      </c>
      <c r="L24" s="19" t="str">
        <f aca="false">IF(B24="","",IF(OR(E24&gt;D24,G24&gt;F24,D24&lt;0,E24&lt;0,F24&lt;0,G24&lt;0),"Check numbers","OK"))</f>
        <v>OK</v>
      </c>
    </row>
    <row r="25" customFormat="false" ht="15" hidden="false" customHeight="false" outlineLevel="0" collapsed="false">
      <c r="A25" s="15" t="n">
        <v>46307</v>
      </c>
      <c r="B25" s="16" t="s">
        <v>105</v>
      </c>
      <c r="C25" s="16" t="s">
        <v>93</v>
      </c>
      <c r="D25" s="20" t="n">
        <v>12388</v>
      </c>
      <c r="E25" s="20" t="n">
        <v>114</v>
      </c>
      <c r="F25" s="20" t="n">
        <v>75</v>
      </c>
      <c r="G25" s="20" t="n">
        <v>1</v>
      </c>
      <c r="H25" s="10" t="str">
        <f aca="false">IF(B25="","",IFERROR(INDEX(Campaigns!$B$5:$B$24,MATCH(B25,Campaigns!$A$5:$A$24,0)),"ID not found"))</f>
        <v>Graduate Hiring Drive</v>
      </c>
      <c r="I25" s="9" t="n">
        <f aca="false">IF(AND(B25&lt;&gt;"",D25&gt;0),E25/D25,"")</f>
        <v>0.00920245398773006</v>
      </c>
      <c r="J25" s="9" t="n">
        <f aca="false">IF(AND(B25&lt;&gt;"",F25&gt;0),G25/F25,"")</f>
        <v>0.0133333333333333</v>
      </c>
      <c r="K25" s="19" t="str">
        <f aca="false">IF(OR(I25="",J25=""),"",IF(AND(I25&gt;=Settings!$B$6,J25&gt;=Settings!$B$7),"On target","Below target"))</f>
        <v>Below target</v>
      </c>
      <c r="L25" s="19" t="str">
        <f aca="false">IF(B25="","",IF(OR(E25&gt;D25,G25&gt;F25,D25&lt;0,E25&lt;0,F25&lt;0,G25&lt;0),"Check numbers","OK"))</f>
        <v>OK</v>
      </c>
    </row>
    <row r="26" customFormat="false" ht="15" hidden="false" customHeight="false" outlineLevel="0" collapsed="false">
      <c r="A26" s="15" t="n">
        <v>46307</v>
      </c>
      <c r="B26" s="16" t="s">
        <v>109</v>
      </c>
      <c r="C26" s="16" t="s">
        <v>95</v>
      </c>
      <c r="D26" s="20" t="n">
        <v>10894</v>
      </c>
      <c r="E26" s="20" t="n">
        <v>671</v>
      </c>
      <c r="F26" s="20" t="n">
        <v>484</v>
      </c>
      <c r="G26" s="20" t="n">
        <v>31</v>
      </c>
      <c r="H26" s="10" t="str">
        <f aca="false">IF(B26="","",IFERROR(INDEX(Campaigns!$B$5:$B$24,MATCH(B26,Campaigns!$A$5:$A$24,0)),"ID not found"))</f>
        <v>Employee Stories Series</v>
      </c>
      <c r="I26" s="9" t="n">
        <f aca="false">IF(AND(B26&lt;&gt;"",D26&gt;0),E26/D26,"")</f>
        <v>0.0615935377271893</v>
      </c>
      <c r="J26" s="9" t="n">
        <f aca="false">IF(AND(B26&lt;&gt;"",F26&gt;0),G26/F26,"")</f>
        <v>0.0640495867768595</v>
      </c>
      <c r="K26" s="19" t="str">
        <f aca="false">IF(OR(I26="",J26=""),"",IF(AND(I26&gt;=Settings!$B$6,J26&gt;=Settings!$B$7),"On target","Below target"))</f>
        <v>On target</v>
      </c>
      <c r="L26" s="19" t="str">
        <f aca="false">IF(B26="","",IF(OR(E26&gt;D26,G26&gt;F26,D26&lt;0,E26&lt;0,F26&lt;0,G26&lt;0),"Check numbers","OK"))</f>
        <v>OK</v>
      </c>
    </row>
    <row r="27" customFormat="false" ht="15" hidden="false" customHeight="false" outlineLevel="0" collapsed="false">
      <c r="A27" s="15" t="n">
        <v>46307</v>
      </c>
      <c r="B27" s="16" t="s">
        <v>112</v>
      </c>
      <c r="C27" s="16" t="s">
        <v>96</v>
      </c>
      <c r="D27" s="20" t="n">
        <v>6710</v>
      </c>
      <c r="E27" s="20" t="n">
        <v>188</v>
      </c>
      <c r="F27" s="20" t="n">
        <v>173</v>
      </c>
      <c r="G27" s="20" t="n">
        <v>8</v>
      </c>
      <c r="H27" s="10" t="str">
        <f aca="false">IF(B27="","",IFERROR(INDEX(Campaigns!$B$5:$B$24,MATCH(B27,Campaigns!$A$5:$A$24,0)),"ID not found"))</f>
        <v>Campus Careers Week</v>
      </c>
      <c r="I27" s="9" t="n">
        <f aca="false">IF(AND(B27&lt;&gt;"",D27&gt;0),E27/D27,"")</f>
        <v>0.0280178837555887</v>
      </c>
      <c r="J27" s="9" t="n">
        <f aca="false">IF(AND(B27&lt;&gt;"",F27&gt;0),G27/F27,"")</f>
        <v>0.046242774566474</v>
      </c>
      <c r="K27" s="19" t="str">
        <f aca="false">IF(OR(I27="",J27=""),"",IF(AND(I27&gt;=Settings!$B$6,J27&gt;=Settings!$B$7),"On target","Below target"))</f>
        <v>On target</v>
      </c>
      <c r="L27" s="19" t="str">
        <f aca="false">IF(B27="","",IF(OR(E27&gt;D27,G27&gt;F27,D27&lt;0,E27&lt;0,F27&lt;0,G27&lt;0),"Check numbers","OK"))</f>
        <v>OK</v>
      </c>
    </row>
    <row r="28" customFormat="false" ht="15" hidden="false" customHeight="false" outlineLevel="0" collapsed="false">
      <c r="A28" s="15" t="n">
        <v>46307</v>
      </c>
      <c r="B28" s="16" t="s">
        <v>116</v>
      </c>
      <c r="C28" s="16" t="s">
        <v>90</v>
      </c>
      <c r="D28" s="20" t="n">
        <v>11020</v>
      </c>
      <c r="E28" s="20" t="n">
        <v>179</v>
      </c>
      <c r="F28" s="20" t="n">
        <v>155</v>
      </c>
      <c r="G28" s="20" t="n">
        <v>3</v>
      </c>
      <c r="H28" s="10" t="str">
        <f aca="false">IF(B28="","",IFERROR(INDEX(Campaigns!$B$5:$B$24,MATCH(B28,Campaigns!$A$5:$A$24,0)),"ID not found"))</f>
        <v>Careers Site Refresh</v>
      </c>
      <c r="I28" s="9" t="n">
        <f aca="false">IF(AND(B28&lt;&gt;"",D28&gt;0),E28/D28,"")</f>
        <v>0.0162431941923775</v>
      </c>
      <c r="J28" s="9" t="n">
        <f aca="false">IF(AND(B28&lt;&gt;"",F28&gt;0),G28/F28,"")</f>
        <v>0.0193548387096774</v>
      </c>
      <c r="K28" s="19" t="str">
        <f aca="false">IF(OR(I28="",J28=""),"",IF(AND(I28&gt;=Settings!$B$6,J28&gt;=Settings!$B$7),"On target","Below target"))</f>
        <v>Below target</v>
      </c>
      <c r="L28" s="19" t="str">
        <f aca="false">IF(B28="","",IF(OR(E28&gt;D28,G28&gt;F28,D28&lt;0,E28&lt;0,F28&lt;0,G28&lt;0),"Check numbers","OK"))</f>
        <v>OK</v>
      </c>
    </row>
    <row r="29" customFormat="false" ht="15" hidden="false" customHeight="false" outlineLevel="0" collapsed="false">
      <c r="A29" s="15" t="n">
        <v>46314</v>
      </c>
      <c r="B29" s="16" t="s">
        <v>105</v>
      </c>
      <c r="C29" s="16" t="s">
        <v>95</v>
      </c>
      <c r="D29" s="20" t="n">
        <v>6242</v>
      </c>
      <c r="E29" s="20" t="n">
        <v>276</v>
      </c>
      <c r="F29" s="20" t="n">
        <v>233</v>
      </c>
      <c r="G29" s="20" t="n">
        <v>13</v>
      </c>
      <c r="H29" s="10" t="str">
        <f aca="false">IF(B29="","",IFERROR(INDEX(Campaigns!$B$5:$B$24,MATCH(B29,Campaigns!$A$5:$A$24,0)),"ID not found"))</f>
        <v>Graduate Hiring Drive</v>
      </c>
      <c r="I29" s="9" t="n">
        <f aca="false">IF(AND(B29&lt;&gt;"",D29&gt;0),E29/D29,"")</f>
        <v>0.0442165972444729</v>
      </c>
      <c r="J29" s="9" t="n">
        <f aca="false">IF(AND(B29&lt;&gt;"",F29&gt;0),G29/F29,"")</f>
        <v>0.055793991416309</v>
      </c>
      <c r="K29" s="19" t="str">
        <f aca="false">IF(OR(I29="",J29=""),"",IF(AND(I29&gt;=Settings!$B$6,J29&gt;=Settings!$B$7),"On target","Below target"))</f>
        <v>On target</v>
      </c>
      <c r="L29" s="19" t="str">
        <f aca="false">IF(B29="","",IF(OR(E29&gt;D29,G29&gt;F29,D29&lt;0,E29&lt;0,F29&lt;0,G29&lt;0),"Check numbers","OK"))</f>
        <v>OK</v>
      </c>
    </row>
    <row r="30" customFormat="false" ht="15" hidden="false" customHeight="false" outlineLevel="0" collapsed="false">
      <c r="A30" s="15" t="n">
        <v>46314</v>
      </c>
      <c r="B30" s="16" t="s">
        <v>109</v>
      </c>
      <c r="C30" s="16" t="s">
        <v>96</v>
      </c>
      <c r="D30" s="20" t="n">
        <v>3714</v>
      </c>
      <c r="E30" s="20" t="n">
        <v>91</v>
      </c>
      <c r="F30" s="20" t="n">
        <v>84</v>
      </c>
      <c r="G30" s="20" t="n">
        <v>2</v>
      </c>
      <c r="H30" s="10" t="str">
        <f aca="false">IF(B30="","",IFERROR(INDEX(Campaigns!$B$5:$B$24,MATCH(B30,Campaigns!$A$5:$A$24,0)),"ID not found"))</f>
        <v>Employee Stories Series</v>
      </c>
      <c r="I30" s="9" t="n">
        <f aca="false">IF(AND(B30&lt;&gt;"",D30&gt;0),E30/D30,"")</f>
        <v>0.0245018847603662</v>
      </c>
      <c r="J30" s="9" t="n">
        <f aca="false">IF(AND(B30&lt;&gt;"",F30&gt;0),G30/F30,"")</f>
        <v>0.0238095238095238</v>
      </c>
      <c r="K30" s="19" t="str">
        <f aca="false">IF(OR(I30="",J30=""),"",IF(AND(I30&gt;=Settings!$B$6,J30&gt;=Settings!$B$7),"On target","Below target"))</f>
        <v>Below target</v>
      </c>
      <c r="L30" s="19" t="str">
        <f aca="false">IF(B30="","",IF(OR(E30&gt;D30,G30&gt;F30,D30&lt;0,E30&lt;0,F30&lt;0,G30&lt;0),"Check numbers","OK"))</f>
        <v>OK</v>
      </c>
    </row>
    <row r="31" customFormat="false" ht="15" hidden="false" customHeight="false" outlineLevel="0" collapsed="false">
      <c r="A31" s="15" t="n">
        <v>46314</v>
      </c>
      <c r="B31" s="16" t="s">
        <v>112</v>
      </c>
      <c r="C31" s="16" t="s">
        <v>90</v>
      </c>
      <c r="D31" s="20" t="n">
        <v>2771</v>
      </c>
      <c r="E31" s="20" t="n">
        <v>39</v>
      </c>
      <c r="F31" s="20" t="n">
        <v>30</v>
      </c>
      <c r="G31" s="20" t="n">
        <v>0</v>
      </c>
      <c r="H31" s="10" t="str">
        <f aca="false">IF(B31="","",IFERROR(INDEX(Campaigns!$B$5:$B$24,MATCH(B31,Campaigns!$A$5:$A$24,0)),"ID not found"))</f>
        <v>Campus Careers Week</v>
      </c>
      <c r="I31" s="9" t="n">
        <f aca="false">IF(AND(B31&lt;&gt;"",D31&gt;0),E31/D31,"")</f>
        <v>0.0140743413929989</v>
      </c>
      <c r="J31" s="9" t="n">
        <f aca="false">IF(AND(B31&lt;&gt;"",F31&gt;0),G31/F31,"")</f>
        <v>0</v>
      </c>
      <c r="K31" s="19" t="str">
        <f aca="false">IF(OR(I31="",J31=""),"",IF(AND(I31&gt;=Settings!$B$6,J31&gt;=Settings!$B$7),"On target","Below target"))</f>
        <v>Below target</v>
      </c>
      <c r="L31" s="19" t="str">
        <f aca="false">IF(B31="","",IF(OR(E31&gt;D31,G31&gt;F31,D31&lt;0,E31&lt;0,F31&lt;0,G31&lt;0),"Check numbers","OK"))</f>
        <v>OK</v>
      </c>
    </row>
    <row r="32" customFormat="false" ht="15" hidden="false" customHeight="false" outlineLevel="0" collapsed="false">
      <c r="A32" s="15" t="n">
        <v>46314</v>
      </c>
      <c r="B32" s="16" t="s">
        <v>116</v>
      </c>
      <c r="C32" s="16" t="s">
        <v>93</v>
      </c>
      <c r="D32" s="20" t="n">
        <v>3263</v>
      </c>
      <c r="E32" s="20" t="n">
        <v>33</v>
      </c>
      <c r="F32" s="20" t="n">
        <v>25</v>
      </c>
      <c r="G32" s="20" t="n">
        <v>1</v>
      </c>
      <c r="H32" s="10" t="str">
        <f aca="false">IF(B32="","",IFERROR(INDEX(Campaigns!$B$5:$B$24,MATCH(B32,Campaigns!$A$5:$A$24,0)),"ID not found"))</f>
        <v>Careers Site Refresh</v>
      </c>
      <c r="I32" s="9" t="n">
        <f aca="false">IF(AND(B32&lt;&gt;"",D32&gt;0),E32/D32,"")</f>
        <v>0.0101133925835121</v>
      </c>
      <c r="J32" s="9" t="n">
        <f aca="false">IF(AND(B32&lt;&gt;"",F32&gt;0),G32/F32,"")</f>
        <v>0.04</v>
      </c>
      <c r="K32" s="19" t="str">
        <f aca="false">IF(OR(I32="",J32=""),"",IF(AND(I32&gt;=Settings!$B$6,J32&gt;=Settings!$B$7),"On target","Below target"))</f>
        <v>Below target</v>
      </c>
      <c r="L32" s="19" t="str">
        <f aca="false">IF(B32="","",IF(OR(E32&gt;D32,G32&gt;F32,D32&lt;0,E32&lt;0,F32&lt;0,G32&lt;0),"Check numbers","OK"))</f>
        <v>OK</v>
      </c>
    </row>
    <row r="33" customFormat="false" ht="15" hidden="false" customHeight="false" outlineLevel="0" collapsed="false">
      <c r="A33" s="15" t="n">
        <v>46321</v>
      </c>
      <c r="B33" s="16" t="s">
        <v>105</v>
      </c>
      <c r="C33" s="16" t="s">
        <v>96</v>
      </c>
      <c r="D33" s="20" t="n">
        <v>4655</v>
      </c>
      <c r="E33" s="20" t="n">
        <v>94</v>
      </c>
      <c r="F33" s="20" t="n">
        <v>65</v>
      </c>
      <c r="G33" s="20" t="n">
        <v>3</v>
      </c>
      <c r="H33" s="10" t="str">
        <f aca="false">IF(B33="","",IFERROR(INDEX(Campaigns!$B$5:$B$24,MATCH(B33,Campaigns!$A$5:$A$24,0)),"ID not found"))</f>
        <v>Graduate Hiring Drive</v>
      </c>
      <c r="I33" s="9" t="n">
        <f aca="false">IF(AND(B33&lt;&gt;"",D33&gt;0),E33/D33,"")</f>
        <v>0.0201933404940924</v>
      </c>
      <c r="J33" s="9" t="n">
        <f aca="false">IF(AND(B33&lt;&gt;"",F33&gt;0),G33/F33,"")</f>
        <v>0.0461538461538462</v>
      </c>
      <c r="K33" s="19" t="str">
        <f aca="false">IF(OR(I33="",J33=""),"",IF(AND(I33&gt;=Settings!$B$6,J33&gt;=Settings!$B$7),"On target","Below target"))</f>
        <v>On target</v>
      </c>
      <c r="L33" s="19" t="str">
        <f aca="false">IF(B33="","",IF(OR(E33&gt;D33,G33&gt;F33,D33&lt;0,E33&lt;0,F33&lt;0,G33&lt;0),"Check numbers","OK"))</f>
        <v>OK</v>
      </c>
    </row>
    <row r="34" customFormat="false" ht="15" hidden="false" customHeight="false" outlineLevel="0" collapsed="false">
      <c r="A34" s="15" t="n">
        <v>46321</v>
      </c>
      <c r="B34" s="16" t="s">
        <v>109</v>
      </c>
      <c r="C34" s="16" t="s">
        <v>90</v>
      </c>
      <c r="D34" s="20" t="n">
        <v>7922</v>
      </c>
      <c r="E34" s="20" t="n">
        <v>196</v>
      </c>
      <c r="F34" s="20" t="n">
        <v>168</v>
      </c>
      <c r="G34" s="20" t="n">
        <v>9</v>
      </c>
      <c r="H34" s="10" t="str">
        <f aca="false">IF(B34="","",IFERROR(INDEX(Campaigns!$B$5:$B$24,MATCH(B34,Campaigns!$A$5:$A$24,0)),"ID not found"))</f>
        <v>Employee Stories Series</v>
      </c>
      <c r="I34" s="9" t="n">
        <f aca="false">IF(AND(B34&lt;&gt;"",D34&gt;0),E34/D34,"")</f>
        <v>0.0247412269628882</v>
      </c>
      <c r="J34" s="9" t="n">
        <f aca="false">IF(AND(B34&lt;&gt;"",F34&gt;0),G34/F34,"")</f>
        <v>0.0535714285714286</v>
      </c>
      <c r="K34" s="19" t="str">
        <f aca="false">IF(OR(I34="",J34=""),"",IF(AND(I34&gt;=Settings!$B$6,J34&gt;=Settings!$B$7),"On target","Below target"))</f>
        <v>On target</v>
      </c>
      <c r="L34" s="19" t="str">
        <f aca="false">IF(B34="","",IF(OR(E34&gt;D34,G34&gt;F34,D34&lt;0,E34&lt;0,F34&lt;0,G34&lt;0),"Check numbers","OK"))</f>
        <v>OK</v>
      </c>
    </row>
    <row r="35" customFormat="false" ht="15" hidden="false" customHeight="false" outlineLevel="0" collapsed="false">
      <c r="A35" s="15" t="n">
        <v>46321</v>
      </c>
      <c r="B35" s="16" t="s">
        <v>112</v>
      </c>
      <c r="C35" s="16" t="s">
        <v>93</v>
      </c>
      <c r="D35" s="20" t="n">
        <v>4799</v>
      </c>
      <c r="E35" s="20" t="n">
        <v>72</v>
      </c>
      <c r="F35" s="20" t="n">
        <v>66</v>
      </c>
      <c r="G35" s="20" t="n">
        <v>3</v>
      </c>
      <c r="H35" s="10" t="str">
        <f aca="false">IF(B35="","",IFERROR(INDEX(Campaigns!$B$5:$B$24,MATCH(B35,Campaigns!$A$5:$A$24,0)),"ID not found"))</f>
        <v>Campus Careers Week</v>
      </c>
      <c r="I35" s="9" t="n">
        <f aca="false">IF(AND(B35&lt;&gt;"",D35&gt;0),E35/D35,"")</f>
        <v>0.0150031256511773</v>
      </c>
      <c r="J35" s="9" t="n">
        <f aca="false">IF(AND(B35&lt;&gt;"",F35&gt;0),G35/F35,"")</f>
        <v>0.0454545454545455</v>
      </c>
      <c r="K35" s="19" t="str">
        <f aca="false">IF(OR(I35="",J35=""),"",IF(AND(I35&gt;=Settings!$B$6,J35&gt;=Settings!$B$7),"On target","Below target"))</f>
        <v>Below target</v>
      </c>
      <c r="L35" s="19" t="str">
        <f aca="false">IF(B35="","",IF(OR(E35&gt;D35,G35&gt;F35,D35&lt;0,E35&lt;0,F35&lt;0,G35&lt;0),"Check numbers","OK"))</f>
        <v>OK</v>
      </c>
    </row>
    <row r="36" customFormat="false" ht="15" hidden="false" customHeight="false" outlineLevel="0" collapsed="false">
      <c r="A36" s="15" t="n">
        <v>46321</v>
      </c>
      <c r="B36" s="16" t="s">
        <v>116</v>
      </c>
      <c r="C36" s="16" t="s">
        <v>95</v>
      </c>
      <c r="D36" s="20" t="n">
        <v>8356</v>
      </c>
      <c r="E36" s="20" t="n">
        <v>436</v>
      </c>
      <c r="F36" s="20" t="n">
        <v>409</v>
      </c>
      <c r="G36" s="20" t="n">
        <v>6</v>
      </c>
      <c r="H36" s="10" t="str">
        <f aca="false">IF(B36="","",IFERROR(INDEX(Campaigns!$B$5:$B$24,MATCH(B36,Campaigns!$A$5:$A$24,0)),"ID not found"))</f>
        <v>Careers Site Refresh</v>
      </c>
      <c r="I36" s="9" t="n">
        <f aca="false">IF(AND(B36&lt;&gt;"",D36&gt;0),E36/D36,"")</f>
        <v>0.0521780756342748</v>
      </c>
      <c r="J36" s="9" t="n">
        <f aca="false">IF(AND(B36&lt;&gt;"",F36&gt;0),G36/F36,"")</f>
        <v>0.0146699266503667</v>
      </c>
      <c r="K36" s="19" t="str">
        <f aca="false">IF(OR(I36="",J36=""),"",IF(AND(I36&gt;=Settings!$B$6,J36&gt;=Settings!$B$7),"On target","Below target"))</f>
        <v>Below target</v>
      </c>
      <c r="L36" s="19" t="str">
        <f aca="false">IF(B36="","",IF(OR(E36&gt;D36,G36&gt;F36,D36&lt;0,E36&lt;0,F36&lt;0,G36&lt;0),"Check numbers","OK"))</f>
        <v>OK</v>
      </c>
    </row>
    <row r="37" customFormat="false" ht="15" hidden="false" customHeight="false" outlineLevel="0" collapsed="false">
      <c r="A37" s="15"/>
      <c r="B37" s="16"/>
      <c r="C37" s="16"/>
      <c r="D37" s="20"/>
      <c r="E37" s="20"/>
      <c r="F37" s="20"/>
      <c r="G37" s="20"/>
      <c r="H37" s="10" t="str">
        <f aca="false">IF(B37="","",IFERROR(INDEX(Campaigns!$B$5:$B$24,MATCH(B37,Campaigns!$A$5:$A$24,0)),"ID not found"))</f>
        <v/>
      </c>
      <c r="I37" s="9" t="str">
        <f aca="false">IF(AND(B37&lt;&gt;"",D37&gt;0),E37/D37,"")</f>
        <v/>
      </c>
      <c r="J37" s="9" t="str">
        <f aca="false">IF(AND(B37&lt;&gt;"",F37&gt;0),G37/F37,"")</f>
        <v/>
      </c>
      <c r="K37" s="19" t="str">
        <f aca="false">IF(OR(I37="",J37=""),"",IF(AND(I37&gt;=Settings!$B$6,J37&gt;=Settings!$B$7),"On target","Below target"))</f>
        <v/>
      </c>
      <c r="L37" s="19" t="str">
        <f aca="false">IF(B37="","",IF(OR(E37&gt;D37,G37&gt;F37,D37&lt;0,E37&lt;0,F37&lt;0,G37&lt;0),"Check numbers","OK"))</f>
        <v/>
      </c>
    </row>
    <row r="38" customFormat="false" ht="15" hidden="false" customHeight="false" outlineLevel="0" collapsed="false">
      <c r="A38" s="15"/>
      <c r="B38" s="16"/>
      <c r="C38" s="16"/>
      <c r="D38" s="20"/>
      <c r="E38" s="20"/>
      <c r="F38" s="20"/>
      <c r="G38" s="20"/>
      <c r="H38" s="10" t="str">
        <f aca="false">IF(B38="","",IFERROR(INDEX(Campaigns!$B$5:$B$24,MATCH(B38,Campaigns!$A$5:$A$24,0)),"ID not found"))</f>
        <v/>
      </c>
      <c r="I38" s="9" t="str">
        <f aca="false">IF(AND(B38&lt;&gt;"",D38&gt;0),E38/D38,"")</f>
        <v/>
      </c>
      <c r="J38" s="9" t="str">
        <f aca="false">IF(AND(B38&lt;&gt;"",F38&gt;0),G38/F38,"")</f>
        <v/>
      </c>
      <c r="K38" s="19" t="str">
        <f aca="false">IF(OR(I38="",J38=""),"",IF(AND(I38&gt;=Settings!$B$6,J38&gt;=Settings!$B$7),"On target","Below target"))</f>
        <v/>
      </c>
      <c r="L38" s="19" t="str">
        <f aca="false">IF(B38="","",IF(OR(E38&gt;D38,G38&gt;F38,D38&lt;0,E38&lt;0,F38&lt;0,G38&lt;0),"Check numbers","OK"))</f>
        <v/>
      </c>
    </row>
    <row r="39" customFormat="false" ht="15" hidden="false" customHeight="false" outlineLevel="0" collapsed="false">
      <c r="A39" s="15"/>
      <c r="B39" s="16"/>
      <c r="C39" s="16"/>
      <c r="D39" s="20"/>
      <c r="E39" s="20"/>
      <c r="F39" s="20"/>
      <c r="G39" s="20"/>
      <c r="H39" s="10" t="str">
        <f aca="false">IF(B39="","",IFERROR(INDEX(Campaigns!$B$5:$B$24,MATCH(B39,Campaigns!$A$5:$A$24,0)),"ID not found"))</f>
        <v/>
      </c>
      <c r="I39" s="9" t="str">
        <f aca="false">IF(AND(B39&lt;&gt;"",D39&gt;0),E39/D39,"")</f>
        <v/>
      </c>
      <c r="J39" s="9" t="str">
        <f aca="false">IF(AND(B39&lt;&gt;"",F39&gt;0),G39/F39,"")</f>
        <v/>
      </c>
      <c r="K39" s="19" t="str">
        <f aca="false">IF(OR(I39="",J39=""),"",IF(AND(I39&gt;=Settings!$B$6,J39&gt;=Settings!$B$7),"On target","Below target"))</f>
        <v/>
      </c>
      <c r="L39" s="19" t="str">
        <f aca="false">IF(B39="","",IF(OR(E39&gt;D39,G39&gt;F39,D39&lt;0,E39&lt;0,F39&lt;0,G39&lt;0),"Check numbers","OK"))</f>
        <v/>
      </c>
    </row>
    <row r="40" customFormat="false" ht="15" hidden="false" customHeight="false" outlineLevel="0" collapsed="false">
      <c r="A40" s="15"/>
      <c r="B40" s="16"/>
      <c r="C40" s="16"/>
      <c r="D40" s="20"/>
      <c r="E40" s="20"/>
      <c r="F40" s="20"/>
      <c r="G40" s="20"/>
      <c r="H40" s="10" t="str">
        <f aca="false">IF(B40="","",IFERROR(INDEX(Campaigns!$B$5:$B$24,MATCH(B40,Campaigns!$A$5:$A$24,0)),"ID not found"))</f>
        <v/>
      </c>
      <c r="I40" s="9" t="str">
        <f aca="false">IF(AND(B40&lt;&gt;"",D40&gt;0),E40/D40,"")</f>
        <v/>
      </c>
      <c r="J40" s="9" t="str">
        <f aca="false">IF(AND(B40&lt;&gt;"",F40&gt;0),G40/F40,"")</f>
        <v/>
      </c>
      <c r="K40" s="19" t="str">
        <f aca="false">IF(OR(I40="",J40=""),"",IF(AND(I40&gt;=Settings!$B$6,J40&gt;=Settings!$B$7),"On target","Below target"))</f>
        <v/>
      </c>
      <c r="L40" s="19" t="str">
        <f aca="false">IF(B40="","",IF(OR(E40&gt;D40,G40&gt;F40,D40&lt;0,E40&lt;0,F40&lt;0,G40&lt;0),"Check numbers","OK"))</f>
        <v/>
      </c>
    </row>
    <row r="41" customFormat="false" ht="15" hidden="false" customHeight="false" outlineLevel="0" collapsed="false">
      <c r="A41" s="15"/>
      <c r="B41" s="16"/>
      <c r="C41" s="16"/>
      <c r="D41" s="20"/>
      <c r="E41" s="20"/>
      <c r="F41" s="20"/>
      <c r="G41" s="20"/>
      <c r="H41" s="10" t="str">
        <f aca="false">IF(B41="","",IFERROR(INDEX(Campaigns!$B$5:$B$24,MATCH(B41,Campaigns!$A$5:$A$24,0)),"ID not found"))</f>
        <v/>
      </c>
      <c r="I41" s="9" t="str">
        <f aca="false">IF(AND(B41&lt;&gt;"",D41&gt;0),E41/D41,"")</f>
        <v/>
      </c>
      <c r="J41" s="9" t="str">
        <f aca="false">IF(AND(B41&lt;&gt;"",F41&gt;0),G41/F41,"")</f>
        <v/>
      </c>
      <c r="K41" s="19" t="str">
        <f aca="false">IF(OR(I41="",J41=""),"",IF(AND(I41&gt;=Settings!$B$6,J41&gt;=Settings!$B$7),"On target","Below target"))</f>
        <v/>
      </c>
      <c r="L41" s="19" t="str">
        <f aca="false">IF(B41="","",IF(OR(E41&gt;D41,G41&gt;F41,D41&lt;0,E41&lt;0,F41&lt;0,G41&lt;0),"Check numbers","OK"))</f>
        <v/>
      </c>
    </row>
    <row r="42" customFormat="false" ht="15" hidden="false" customHeight="false" outlineLevel="0" collapsed="false">
      <c r="A42" s="15"/>
      <c r="B42" s="16"/>
      <c r="C42" s="16"/>
      <c r="D42" s="20"/>
      <c r="E42" s="20"/>
      <c r="F42" s="20"/>
      <c r="G42" s="20"/>
      <c r="H42" s="10" t="str">
        <f aca="false">IF(B42="","",IFERROR(INDEX(Campaigns!$B$5:$B$24,MATCH(B42,Campaigns!$A$5:$A$24,0)),"ID not found"))</f>
        <v/>
      </c>
      <c r="I42" s="9" t="str">
        <f aca="false">IF(AND(B42&lt;&gt;"",D42&gt;0),E42/D42,"")</f>
        <v/>
      </c>
      <c r="J42" s="9" t="str">
        <f aca="false">IF(AND(B42&lt;&gt;"",F42&gt;0),G42/F42,"")</f>
        <v/>
      </c>
      <c r="K42" s="19" t="str">
        <f aca="false">IF(OR(I42="",J42=""),"",IF(AND(I42&gt;=Settings!$B$6,J42&gt;=Settings!$B$7),"On target","Below target"))</f>
        <v/>
      </c>
      <c r="L42" s="19" t="str">
        <f aca="false">IF(B42="","",IF(OR(E42&gt;D42,G42&gt;F42,D42&lt;0,E42&lt;0,F42&lt;0,G42&lt;0),"Check numbers","OK"))</f>
        <v/>
      </c>
    </row>
    <row r="43" customFormat="false" ht="15" hidden="false" customHeight="false" outlineLevel="0" collapsed="false">
      <c r="A43" s="15"/>
      <c r="B43" s="16"/>
      <c r="C43" s="16"/>
      <c r="D43" s="20"/>
      <c r="E43" s="20"/>
      <c r="F43" s="20"/>
      <c r="G43" s="20"/>
      <c r="H43" s="10" t="str">
        <f aca="false">IF(B43="","",IFERROR(INDEX(Campaigns!$B$5:$B$24,MATCH(B43,Campaigns!$A$5:$A$24,0)),"ID not found"))</f>
        <v/>
      </c>
      <c r="I43" s="9" t="str">
        <f aca="false">IF(AND(B43&lt;&gt;"",D43&gt;0),E43/D43,"")</f>
        <v/>
      </c>
      <c r="J43" s="9" t="str">
        <f aca="false">IF(AND(B43&lt;&gt;"",F43&gt;0),G43/F43,"")</f>
        <v/>
      </c>
      <c r="K43" s="19" t="str">
        <f aca="false">IF(OR(I43="",J43=""),"",IF(AND(I43&gt;=Settings!$B$6,J43&gt;=Settings!$B$7),"On target","Below target"))</f>
        <v/>
      </c>
      <c r="L43" s="19" t="str">
        <f aca="false">IF(B43="","",IF(OR(E43&gt;D43,G43&gt;F43,D43&lt;0,E43&lt;0,F43&lt;0,G43&lt;0),"Check numbers","OK"))</f>
        <v/>
      </c>
    </row>
    <row r="44" customFormat="false" ht="15" hidden="false" customHeight="false" outlineLevel="0" collapsed="false">
      <c r="A44" s="15"/>
      <c r="B44" s="16"/>
      <c r="C44" s="16"/>
      <c r="D44" s="20"/>
      <c r="E44" s="20"/>
      <c r="F44" s="20"/>
      <c r="G44" s="20"/>
      <c r="H44" s="10" t="str">
        <f aca="false">IF(B44="","",IFERROR(INDEX(Campaigns!$B$5:$B$24,MATCH(B44,Campaigns!$A$5:$A$24,0)),"ID not found"))</f>
        <v/>
      </c>
      <c r="I44" s="9" t="str">
        <f aca="false">IF(AND(B44&lt;&gt;"",D44&gt;0),E44/D44,"")</f>
        <v/>
      </c>
      <c r="J44" s="9" t="str">
        <f aca="false">IF(AND(B44&lt;&gt;"",F44&gt;0),G44/F44,"")</f>
        <v/>
      </c>
      <c r="K44" s="19" t="str">
        <f aca="false">IF(OR(I44="",J44=""),"",IF(AND(I44&gt;=Settings!$B$6,J44&gt;=Settings!$B$7),"On target","Below target"))</f>
        <v/>
      </c>
      <c r="L44" s="19" t="str">
        <f aca="false">IF(B44="","",IF(OR(E44&gt;D44,G44&gt;F44,D44&lt;0,E44&lt;0,F44&lt;0,G44&lt;0),"Check numbers","OK"))</f>
        <v/>
      </c>
    </row>
    <row r="45" customFormat="false" ht="15" hidden="false" customHeight="false" outlineLevel="0" collapsed="false">
      <c r="A45" s="15"/>
      <c r="B45" s="16"/>
      <c r="C45" s="16"/>
      <c r="D45" s="20"/>
      <c r="E45" s="20"/>
      <c r="F45" s="20"/>
      <c r="G45" s="20"/>
      <c r="H45" s="10" t="str">
        <f aca="false">IF(B45="","",IFERROR(INDEX(Campaigns!$B$5:$B$24,MATCH(B45,Campaigns!$A$5:$A$24,0)),"ID not found"))</f>
        <v/>
      </c>
      <c r="I45" s="9" t="str">
        <f aca="false">IF(AND(B45&lt;&gt;"",D45&gt;0),E45/D45,"")</f>
        <v/>
      </c>
      <c r="J45" s="9" t="str">
        <f aca="false">IF(AND(B45&lt;&gt;"",F45&gt;0),G45/F45,"")</f>
        <v/>
      </c>
      <c r="K45" s="19" t="str">
        <f aca="false">IF(OR(I45="",J45=""),"",IF(AND(I45&gt;=Settings!$B$6,J45&gt;=Settings!$B$7),"On target","Below target"))</f>
        <v/>
      </c>
      <c r="L45" s="19" t="str">
        <f aca="false">IF(B45="","",IF(OR(E45&gt;D45,G45&gt;F45,D45&lt;0,E45&lt;0,F45&lt;0,G45&lt;0),"Check numbers","OK"))</f>
        <v/>
      </c>
    </row>
    <row r="46" customFormat="false" ht="15" hidden="false" customHeight="false" outlineLevel="0" collapsed="false">
      <c r="A46" s="15"/>
      <c r="B46" s="16"/>
      <c r="C46" s="16"/>
      <c r="D46" s="20"/>
      <c r="E46" s="20"/>
      <c r="F46" s="20"/>
      <c r="G46" s="20"/>
      <c r="H46" s="10" t="str">
        <f aca="false">IF(B46="","",IFERROR(INDEX(Campaigns!$B$5:$B$24,MATCH(B46,Campaigns!$A$5:$A$24,0)),"ID not found"))</f>
        <v/>
      </c>
      <c r="I46" s="9" t="str">
        <f aca="false">IF(AND(B46&lt;&gt;"",D46&gt;0),E46/D46,"")</f>
        <v/>
      </c>
      <c r="J46" s="9" t="str">
        <f aca="false">IF(AND(B46&lt;&gt;"",F46&gt;0),G46/F46,"")</f>
        <v/>
      </c>
      <c r="K46" s="19" t="str">
        <f aca="false">IF(OR(I46="",J46=""),"",IF(AND(I46&gt;=Settings!$B$6,J46&gt;=Settings!$B$7),"On target","Below target"))</f>
        <v/>
      </c>
      <c r="L46" s="19" t="str">
        <f aca="false">IF(B46="","",IF(OR(E46&gt;D46,G46&gt;F46,D46&lt;0,E46&lt;0,F46&lt;0,G46&lt;0),"Check numbers","OK"))</f>
        <v/>
      </c>
    </row>
    <row r="47" customFormat="false" ht="15" hidden="false" customHeight="false" outlineLevel="0" collapsed="false">
      <c r="A47" s="15"/>
      <c r="B47" s="16"/>
      <c r="C47" s="16"/>
      <c r="D47" s="20"/>
      <c r="E47" s="20"/>
      <c r="F47" s="20"/>
      <c r="G47" s="20"/>
      <c r="H47" s="10" t="str">
        <f aca="false">IF(B47="","",IFERROR(INDEX(Campaigns!$B$5:$B$24,MATCH(B47,Campaigns!$A$5:$A$24,0)),"ID not found"))</f>
        <v/>
      </c>
      <c r="I47" s="9" t="str">
        <f aca="false">IF(AND(B47&lt;&gt;"",D47&gt;0),E47/D47,"")</f>
        <v/>
      </c>
      <c r="J47" s="9" t="str">
        <f aca="false">IF(AND(B47&lt;&gt;"",F47&gt;0),G47/F47,"")</f>
        <v/>
      </c>
      <c r="K47" s="19" t="str">
        <f aca="false">IF(OR(I47="",J47=""),"",IF(AND(I47&gt;=Settings!$B$6,J47&gt;=Settings!$B$7),"On target","Below target"))</f>
        <v/>
      </c>
      <c r="L47" s="19" t="str">
        <f aca="false">IF(B47="","",IF(OR(E47&gt;D47,G47&gt;F47,D47&lt;0,E47&lt;0,F47&lt;0,G47&lt;0),"Check numbers","OK"))</f>
        <v/>
      </c>
    </row>
    <row r="48" customFormat="false" ht="15" hidden="false" customHeight="false" outlineLevel="0" collapsed="false">
      <c r="A48" s="15"/>
      <c r="B48" s="16"/>
      <c r="C48" s="16"/>
      <c r="D48" s="20"/>
      <c r="E48" s="20"/>
      <c r="F48" s="20"/>
      <c r="G48" s="20"/>
      <c r="H48" s="10" t="str">
        <f aca="false">IF(B48="","",IFERROR(INDEX(Campaigns!$B$5:$B$24,MATCH(B48,Campaigns!$A$5:$A$24,0)),"ID not found"))</f>
        <v/>
      </c>
      <c r="I48" s="9" t="str">
        <f aca="false">IF(AND(B48&lt;&gt;"",D48&gt;0),E48/D48,"")</f>
        <v/>
      </c>
      <c r="J48" s="9" t="str">
        <f aca="false">IF(AND(B48&lt;&gt;"",F48&gt;0),G48/F48,"")</f>
        <v/>
      </c>
      <c r="K48" s="19" t="str">
        <f aca="false">IF(OR(I48="",J48=""),"",IF(AND(I48&gt;=Settings!$B$6,J48&gt;=Settings!$B$7),"On target","Below target"))</f>
        <v/>
      </c>
      <c r="L48" s="19" t="str">
        <f aca="false">IF(B48="","",IF(OR(E48&gt;D48,G48&gt;F48,D48&lt;0,E48&lt;0,F48&lt;0,G48&lt;0),"Check numbers","OK"))</f>
        <v/>
      </c>
    </row>
    <row r="49" customFormat="false" ht="15" hidden="false" customHeight="false" outlineLevel="0" collapsed="false">
      <c r="A49" s="15"/>
      <c r="B49" s="16"/>
      <c r="C49" s="16"/>
      <c r="D49" s="20"/>
      <c r="E49" s="20"/>
      <c r="F49" s="20"/>
      <c r="G49" s="20"/>
      <c r="H49" s="10" t="str">
        <f aca="false">IF(B49="","",IFERROR(INDEX(Campaigns!$B$5:$B$24,MATCH(B49,Campaigns!$A$5:$A$24,0)),"ID not found"))</f>
        <v/>
      </c>
      <c r="I49" s="9" t="str">
        <f aca="false">IF(AND(B49&lt;&gt;"",D49&gt;0),E49/D49,"")</f>
        <v/>
      </c>
      <c r="J49" s="9" t="str">
        <f aca="false">IF(AND(B49&lt;&gt;"",F49&gt;0),G49/F49,"")</f>
        <v/>
      </c>
      <c r="K49" s="19" t="str">
        <f aca="false">IF(OR(I49="",J49=""),"",IF(AND(I49&gt;=Settings!$B$6,J49&gt;=Settings!$B$7),"On target","Below target"))</f>
        <v/>
      </c>
      <c r="L49" s="19" t="str">
        <f aca="false">IF(B49="","",IF(OR(E49&gt;D49,G49&gt;F49,D49&lt;0,E49&lt;0,F49&lt;0,G49&lt;0),"Check numbers","OK"))</f>
        <v/>
      </c>
    </row>
    <row r="50" customFormat="false" ht="15" hidden="false" customHeight="false" outlineLevel="0" collapsed="false">
      <c r="A50" s="15"/>
      <c r="B50" s="16"/>
      <c r="C50" s="16"/>
      <c r="D50" s="20"/>
      <c r="E50" s="20"/>
      <c r="F50" s="20"/>
      <c r="G50" s="20"/>
      <c r="H50" s="10" t="str">
        <f aca="false">IF(B50="","",IFERROR(INDEX(Campaigns!$B$5:$B$24,MATCH(B50,Campaigns!$A$5:$A$24,0)),"ID not found"))</f>
        <v/>
      </c>
      <c r="I50" s="9" t="str">
        <f aca="false">IF(AND(B50&lt;&gt;"",D50&gt;0),E50/D50,"")</f>
        <v/>
      </c>
      <c r="J50" s="9" t="str">
        <f aca="false">IF(AND(B50&lt;&gt;"",F50&gt;0),G50/F50,"")</f>
        <v/>
      </c>
      <c r="K50" s="19" t="str">
        <f aca="false">IF(OR(I50="",J50=""),"",IF(AND(I50&gt;=Settings!$B$6,J50&gt;=Settings!$B$7),"On target","Below target"))</f>
        <v/>
      </c>
      <c r="L50" s="19" t="str">
        <f aca="false">IF(B50="","",IF(OR(E50&gt;D50,G50&gt;F50,D50&lt;0,E50&lt;0,F50&lt;0,G50&lt;0),"Check numbers","OK"))</f>
        <v/>
      </c>
    </row>
    <row r="51" customFormat="false" ht="15" hidden="false" customHeight="false" outlineLevel="0" collapsed="false">
      <c r="A51" s="15"/>
      <c r="B51" s="16"/>
      <c r="C51" s="16"/>
      <c r="D51" s="20"/>
      <c r="E51" s="20"/>
      <c r="F51" s="20"/>
      <c r="G51" s="20"/>
      <c r="H51" s="10" t="str">
        <f aca="false">IF(B51="","",IFERROR(INDEX(Campaigns!$B$5:$B$24,MATCH(B51,Campaigns!$A$5:$A$24,0)),"ID not found"))</f>
        <v/>
      </c>
      <c r="I51" s="9" t="str">
        <f aca="false">IF(AND(B51&lt;&gt;"",D51&gt;0),E51/D51,"")</f>
        <v/>
      </c>
      <c r="J51" s="9" t="str">
        <f aca="false">IF(AND(B51&lt;&gt;"",F51&gt;0),G51/F51,"")</f>
        <v/>
      </c>
      <c r="K51" s="19" t="str">
        <f aca="false">IF(OR(I51="",J51=""),"",IF(AND(I51&gt;=Settings!$B$6,J51&gt;=Settings!$B$7),"On target","Below target"))</f>
        <v/>
      </c>
      <c r="L51" s="19" t="str">
        <f aca="false">IF(B51="","",IF(OR(E51&gt;D51,G51&gt;F51,D51&lt;0,E51&lt;0,F51&lt;0,G51&lt;0),"Check numbers","OK"))</f>
        <v/>
      </c>
    </row>
    <row r="52" customFormat="false" ht="15" hidden="false" customHeight="false" outlineLevel="0" collapsed="false">
      <c r="A52" s="15"/>
      <c r="B52" s="16"/>
      <c r="C52" s="16"/>
      <c r="D52" s="20"/>
      <c r="E52" s="20"/>
      <c r="F52" s="20"/>
      <c r="G52" s="20"/>
      <c r="H52" s="10" t="str">
        <f aca="false">IF(B52="","",IFERROR(INDEX(Campaigns!$B$5:$B$24,MATCH(B52,Campaigns!$A$5:$A$24,0)),"ID not found"))</f>
        <v/>
      </c>
      <c r="I52" s="9" t="str">
        <f aca="false">IF(AND(B52&lt;&gt;"",D52&gt;0),E52/D52,"")</f>
        <v/>
      </c>
      <c r="J52" s="9" t="str">
        <f aca="false">IF(AND(B52&lt;&gt;"",F52&gt;0),G52/F52,"")</f>
        <v/>
      </c>
      <c r="K52" s="19" t="str">
        <f aca="false">IF(OR(I52="",J52=""),"",IF(AND(I52&gt;=Settings!$B$6,J52&gt;=Settings!$B$7),"On target","Below target"))</f>
        <v/>
      </c>
      <c r="L52" s="19" t="str">
        <f aca="false">IF(B52="","",IF(OR(E52&gt;D52,G52&gt;F52,D52&lt;0,E52&lt;0,F52&lt;0,G52&lt;0),"Check numbers","OK"))</f>
        <v/>
      </c>
    </row>
    <row r="53" customFormat="false" ht="15" hidden="false" customHeight="false" outlineLevel="0" collapsed="false">
      <c r="A53" s="15"/>
      <c r="B53" s="16"/>
      <c r="C53" s="16"/>
      <c r="D53" s="20"/>
      <c r="E53" s="20"/>
      <c r="F53" s="20"/>
      <c r="G53" s="20"/>
      <c r="H53" s="10" t="str">
        <f aca="false">IF(B53="","",IFERROR(INDEX(Campaigns!$B$5:$B$24,MATCH(B53,Campaigns!$A$5:$A$24,0)),"ID not found"))</f>
        <v/>
      </c>
      <c r="I53" s="9" t="str">
        <f aca="false">IF(AND(B53&lt;&gt;"",D53&gt;0),E53/D53,"")</f>
        <v/>
      </c>
      <c r="J53" s="9" t="str">
        <f aca="false">IF(AND(B53&lt;&gt;"",F53&gt;0),G53/F53,"")</f>
        <v/>
      </c>
      <c r="K53" s="19" t="str">
        <f aca="false">IF(OR(I53="",J53=""),"",IF(AND(I53&gt;=Settings!$B$6,J53&gt;=Settings!$B$7),"On target","Below target"))</f>
        <v/>
      </c>
      <c r="L53" s="19" t="str">
        <f aca="false">IF(B53="","",IF(OR(E53&gt;D53,G53&gt;F53,D53&lt;0,E53&lt;0,F53&lt;0,G53&lt;0),"Check numbers","OK"))</f>
        <v/>
      </c>
    </row>
    <row r="54" customFormat="false" ht="15" hidden="false" customHeight="false" outlineLevel="0" collapsed="false">
      <c r="A54" s="15"/>
      <c r="B54" s="16"/>
      <c r="C54" s="16"/>
      <c r="D54" s="20"/>
      <c r="E54" s="20"/>
      <c r="F54" s="20"/>
      <c r="G54" s="20"/>
      <c r="H54" s="10" t="str">
        <f aca="false">IF(B54="","",IFERROR(INDEX(Campaigns!$B$5:$B$24,MATCH(B54,Campaigns!$A$5:$A$24,0)),"ID not found"))</f>
        <v/>
      </c>
      <c r="I54" s="9" t="str">
        <f aca="false">IF(AND(B54&lt;&gt;"",D54&gt;0),E54/D54,"")</f>
        <v/>
      </c>
      <c r="J54" s="9" t="str">
        <f aca="false">IF(AND(B54&lt;&gt;"",F54&gt;0),G54/F54,"")</f>
        <v/>
      </c>
      <c r="K54" s="19" t="str">
        <f aca="false">IF(OR(I54="",J54=""),"",IF(AND(I54&gt;=Settings!$B$6,J54&gt;=Settings!$B$7),"On target","Below target"))</f>
        <v/>
      </c>
      <c r="L54" s="19" t="str">
        <f aca="false">IF(B54="","",IF(OR(E54&gt;D54,G54&gt;F54,D54&lt;0,E54&lt;0,F54&lt;0,G54&lt;0),"Check numbers","OK"))</f>
        <v/>
      </c>
    </row>
    <row r="55" customFormat="false" ht="15" hidden="false" customHeight="false" outlineLevel="0" collapsed="false">
      <c r="A55" s="15"/>
      <c r="B55" s="16"/>
      <c r="C55" s="16"/>
      <c r="D55" s="20"/>
      <c r="E55" s="20"/>
      <c r="F55" s="20"/>
      <c r="G55" s="20"/>
      <c r="H55" s="10" t="str">
        <f aca="false">IF(B55="","",IFERROR(INDEX(Campaigns!$B$5:$B$24,MATCH(B55,Campaigns!$A$5:$A$24,0)),"ID not found"))</f>
        <v/>
      </c>
      <c r="I55" s="9" t="str">
        <f aca="false">IF(AND(B55&lt;&gt;"",D55&gt;0),E55/D55,"")</f>
        <v/>
      </c>
      <c r="J55" s="9" t="str">
        <f aca="false">IF(AND(B55&lt;&gt;"",F55&gt;0),G55/F55,"")</f>
        <v/>
      </c>
      <c r="K55" s="19" t="str">
        <f aca="false">IF(OR(I55="",J55=""),"",IF(AND(I55&gt;=Settings!$B$6,J55&gt;=Settings!$B$7),"On target","Below target"))</f>
        <v/>
      </c>
      <c r="L55" s="19" t="str">
        <f aca="false">IF(B55="","",IF(OR(E55&gt;D55,G55&gt;F55,D55&lt;0,E55&lt;0,F55&lt;0,G55&lt;0),"Check numbers","OK"))</f>
        <v/>
      </c>
    </row>
    <row r="56" customFormat="false" ht="15" hidden="false" customHeight="false" outlineLevel="0" collapsed="false">
      <c r="A56" s="15"/>
      <c r="B56" s="16"/>
      <c r="C56" s="16"/>
      <c r="D56" s="20"/>
      <c r="E56" s="20"/>
      <c r="F56" s="20"/>
      <c r="G56" s="20"/>
      <c r="H56" s="10" t="str">
        <f aca="false">IF(B56="","",IFERROR(INDEX(Campaigns!$B$5:$B$24,MATCH(B56,Campaigns!$A$5:$A$24,0)),"ID not found"))</f>
        <v/>
      </c>
      <c r="I56" s="9" t="str">
        <f aca="false">IF(AND(B56&lt;&gt;"",D56&gt;0),E56/D56,"")</f>
        <v/>
      </c>
      <c r="J56" s="9" t="str">
        <f aca="false">IF(AND(B56&lt;&gt;"",F56&gt;0),G56/F56,"")</f>
        <v/>
      </c>
      <c r="K56" s="19" t="str">
        <f aca="false">IF(OR(I56="",J56=""),"",IF(AND(I56&gt;=Settings!$B$6,J56&gt;=Settings!$B$7),"On target","Below target"))</f>
        <v/>
      </c>
      <c r="L56" s="19" t="str">
        <f aca="false">IF(B56="","",IF(OR(E56&gt;D56,G56&gt;F56,D56&lt;0,E56&lt;0,F56&lt;0,G56&lt;0),"Check numbers","OK"))</f>
        <v/>
      </c>
    </row>
    <row r="57" customFormat="false" ht="15" hidden="false" customHeight="false" outlineLevel="0" collapsed="false">
      <c r="A57" s="15"/>
      <c r="B57" s="16"/>
      <c r="C57" s="16"/>
      <c r="D57" s="20"/>
      <c r="E57" s="20"/>
      <c r="F57" s="20"/>
      <c r="G57" s="20"/>
      <c r="H57" s="10" t="str">
        <f aca="false">IF(B57="","",IFERROR(INDEX(Campaigns!$B$5:$B$24,MATCH(B57,Campaigns!$A$5:$A$24,0)),"ID not found"))</f>
        <v/>
      </c>
      <c r="I57" s="9" t="str">
        <f aca="false">IF(AND(B57&lt;&gt;"",D57&gt;0),E57/D57,"")</f>
        <v/>
      </c>
      <c r="J57" s="9" t="str">
        <f aca="false">IF(AND(B57&lt;&gt;"",F57&gt;0),G57/F57,"")</f>
        <v/>
      </c>
      <c r="K57" s="19" t="str">
        <f aca="false">IF(OR(I57="",J57=""),"",IF(AND(I57&gt;=Settings!$B$6,J57&gt;=Settings!$B$7),"On target","Below target"))</f>
        <v/>
      </c>
      <c r="L57" s="19" t="str">
        <f aca="false">IF(B57="","",IF(OR(E57&gt;D57,G57&gt;F57,D57&lt;0,E57&lt;0,F57&lt;0,G57&lt;0),"Check numbers","OK"))</f>
        <v/>
      </c>
    </row>
    <row r="58" customFormat="false" ht="15" hidden="false" customHeight="false" outlineLevel="0" collapsed="false">
      <c r="A58" s="15"/>
      <c r="B58" s="16"/>
      <c r="C58" s="16"/>
      <c r="D58" s="20"/>
      <c r="E58" s="20"/>
      <c r="F58" s="20"/>
      <c r="G58" s="20"/>
      <c r="H58" s="10" t="str">
        <f aca="false">IF(B58="","",IFERROR(INDEX(Campaigns!$B$5:$B$24,MATCH(B58,Campaigns!$A$5:$A$24,0)),"ID not found"))</f>
        <v/>
      </c>
      <c r="I58" s="9" t="str">
        <f aca="false">IF(AND(B58&lt;&gt;"",D58&gt;0),E58/D58,"")</f>
        <v/>
      </c>
      <c r="J58" s="9" t="str">
        <f aca="false">IF(AND(B58&lt;&gt;"",F58&gt;0),G58/F58,"")</f>
        <v/>
      </c>
      <c r="K58" s="19" t="str">
        <f aca="false">IF(OR(I58="",J58=""),"",IF(AND(I58&gt;=Settings!$B$6,J58&gt;=Settings!$B$7),"On target","Below target"))</f>
        <v/>
      </c>
      <c r="L58" s="19" t="str">
        <f aca="false">IF(B58="","",IF(OR(E58&gt;D58,G58&gt;F58,D58&lt;0,E58&lt;0,F58&lt;0,G58&lt;0),"Check numbers","OK"))</f>
        <v/>
      </c>
    </row>
    <row r="59" customFormat="false" ht="15" hidden="false" customHeight="false" outlineLevel="0" collapsed="false">
      <c r="A59" s="15"/>
      <c r="B59" s="16"/>
      <c r="C59" s="16"/>
      <c r="D59" s="20"/>
      <c r="E59" s="20"/>
      <c r="F59" s="20"/>
      <c r="G59" s="20"/>
      <c r="H59" s="10" t="str">
        <f aca="false">IF(B59="","",IFERROR(INDEX(Campaigns!$B$5:$B$24,MATCH(B59,Campaigns!$A$5:$A$24,0)),"ID not found"))</f>
        <v/>
      </c>
      <c r="I59" s="9" t="str">
        <f aca="false">IF(AND(B59&lt;&gt;"",D59&gt;0),E59/D59,"")</f>
        <v/>
      </c>
      <c r="J59" s="9" t="str">
        <f aca="false">IF(AND(B59&lt;&gt;"",F59&gt;0),G59/F59,"")</f>
        <v/>
      </c>
      <c r="K59" s="19" t="str">
        <f aca="false">IF(OR(I59="",J59=""),"",IF(AND(I59&gt;=Settings!$B$6,J59&gt;=Settings!$B$7),"On target","Below target"))</f>
        <v/>
      </c>
      <c r="L59" s="19" t="str">
        <f aca="false">IF(B59="","",IF(OR(E59&gt;D59,G59&gt;F59,D59&lt;0,E59&lt;0,F59&lt;0,G59&lt;0),"Check numbers","OK"))</f>
        <v/>
      </c>
    </row>
    <row r="60" customFormat="false" ht="15" hidden="false" customHeight="false" outlineLevel="0" collapsed="false">
      <c r="A60" s="15"/>
      <c r="B60" s="16"/>
      <c r="C60" s="16"/>
      <c r="D60" s="20"/>
      <c r="E60" s="20"/>
      <c r="F60" s="20"/>
      <c r="G60" s="20"/>
      <c r="H60" s="10" t="str">
        <f aca="false">IF(B60="","",IFERROR(INDEX(Campaigns!$B$5:$B$24,MATCH(B60,Campaigns!$A$5:$A$24,0)),"ID not found"))</f>
        <v/>
      </c>
      <c r="I60" s="9" t="str">
        <f aca="false">IF(AND(B60&lt;&gt;"",D60&gt;0),E60/D60,"")</f>
        <v/>
      </c>
      <c r="J60" s="9" t="str">
        <f aca="false">IF(AND(B60&lt;&gt;"",F60&gt;0),G60/F60,"")</f>
        <v/>
      </c>
      <c r="K60" s="19" t="str">
        <f aca="false">IF(OR(I60="",J60=""),"",IF(AND(I60&gt;=Settings!$B$6,J60&gt;=Settings!$B$7),"On target","Below target"))</f>
        <v/>
      </c>
      <c r="L60" s="19" t="str">
        <f aca="false">IF(B60="","",IF(OR(E60&gt;D60,G60&gt;F60,D60&lt;0,E60&lt;0,F60&lt;0,G60&lt;0),"Check numbers","OK"))</f>
        <v/>
      </c>
    </row>
    <row r="61" customFormat="false" ht="15" hidden="false" customHeight="false" outlineLevel="0" collapsed="false">
      <c r="A61" s="15"/>
      <c r="B61" s="16"/>
      <c r="C61" s="16"/>
      <c r="D61" s="20"/>
      <c r="E61" s="20"/>
      <c r="F61" s="20"/>
      <c r="G61" s="20"/>
      <c r="H61" s="10" t="str">
        <f aca="false">IF(B61="","",IFERROR(INDEX(Campaigns!$B$5:$B$24,MATCH(B61,Campaigns!$A$5:$A$24,0)),"ID not found"))</f>
        <v/>
      </c>
      <c r="I61" s="9" t="str">
        <f aca="false">IF(AND(B61&lt;&gt;"",D61&gt;0),E61/D61,"")</f>
        <v/>
      </c>
      <c r="J61" s="9" t="str">
        <f aca="false">IF(AND(B61&lt;&gt;"",F61&gt;0),G61/F61,"")</f>
        <v/>
      </c>
      <c r="K61" s="19" t="str">
        <f aca="false">IF(OR(I61="",J61=""),"",IF(AND(I61&gt;=Settings!$B$6,J61&gt;=Settings!$B$7),"On target","Below target"))</f>
        <v/>
      </c>
      <c r="L61" s="19" t="str">
        <f aca="false">IF(B61="","",IF(OR(E61&gt;D61,G61&gt;F61,D61&lt;0,E61&lt;0,F61&lt;0,G61&lt;0),"Check numbers","OK"))</f>
        <v/>
      </c>
    </row>
    <row r="62" customFormat="false" ht="15" hidden="false" customHeight="false" outlineLevel="0" collapsed="false">
      <c r="A62" s="15"/>
      <c r="B62" s="16"/>
      <c r="C62" s="16"/>
      <c r="D62" s="20"/>
      <c r="E62" s="20"/>
      <c r="F62" s="20"/>
      <c r="G62" s="20"/>
      <c r="H62" s="10" t="str">
        <f aca="false">IF(B62="","",IFERROR(INDEX(Campaigns!$B$5:$B$24,MATCH(B62,Campaigns!$A$5:$A$24,0)),"ID not found"))</f>
        <v/>
      </c>
      <c r="I62" s="9" t="str">
        <f aca="false">IF(AND(B62&lt;&gt;"",D62&gt;0),E62/D62,"")</f>
        <v/>
      </c>
      <c r="J62" s="9" t="str">
        <f aca="false">IF(AND(B62&lt;&gt;"",F62&gt;0),G62/F62,"")</f>
        <v/>
      </c>
      <c r="K62" s="19" t="str">
        <f aca="false">IF(OR(I62="",J62=""),"",IF(AND(I62&gt;=Settings!$B$6,J62&gt;=Settings!$B$7),"On target","Below target"))</f>
        <v/>
      </c>
      <c r="L62" s="19" t="str">
        <f aca="false">IF(B62="","",IF(OR(E62&gt;D62,G62&gt;F62,D62&lt;0,E62&lt;0,F62&lt;0,G62&lt;0),"Check numbers","OK"))</f>
        <v/>
      </c>
    </row>
    <row r="63" customFormat="false" ht="15" hidden="false" customHeight="false" outlineLevel="0" collapsed="false">
      <c r="A63" s="15"/>
      <c r="B63" s="16"/>
      <c r="C63" s="16"/>
      <c r="D63" s="20"/>
      <c r="E63" s="20"/>
      <c r="F63" s="20"/>
      <c r="G63" s="20"/>
      <c r="H63" s="10" t="str">
        <f aca="false">IF(B63="","",IFERROR(INDEX(Campaigns!$B$5:$B$24,MATCH(B63,Campaigns!$A$5:$A$24,0)),"ID not found"))</f>
        <v/>
      </c>
      <c r="I63" s="9" t="str">
        <f aca="false">IF(AND(B63&lt;&gt;"",D63&gt;0),E63/D63,"")</f>
        <v/>
      </c>
      <c r="J63" s="9" t="str">
        <f aca="false">IF(AND(B63&lt;&gt;"",F63&gt;0),G63/F63,"")</f>
        <v/>
      </c>
      <c r="K63" s="19" t="str">
        <f aca="false">IF(OR(I63="",J63=""),"",IF(AND(I63&gt;=Settings!$B$6,J63&gt;=Settings!$B$7),"On target","Below target"))</f>
        <v/>
      </c>
      <c r="L63" s="19" t="str">
        <f aca="false">IF(B63="","",IF(OR(E63&gt;D63,G63&gt;F63,D63&lt;0,E63&lt;0,F63&lt;0,G63&lt;0),"Check numbers","OK"))</f>
        <v/>
      </c>
    </row>
    <row r="64" customFormat="false" ht="15" hidden="false" customHeight="false" outlineLevel="0" collapsed="false">
      <c r="A64" s="15"/>
      <c r="B64" s="16"/>
      <c r="C64" s="16"/>
      <c r="D64" s="20"/>
      <c r="E64" s="20"/>
      <c r="F64" s="20"/>
      <c r="G64" s="20"/>
      <c r="H64" s="10" t="str">
        <f aca="false">IF(B64="","",IFERROR(INDEX(Campaigns!$B$5:$B$24,MATCH(B64,Campaigns!$A$5:$A$24,0)),"ID not found"))</f>
        <v/>
      </c>
      <c r="I64" s="9" t="str">
        <f aca="false">IF(AND(B64&lt;&gt;"",D64&gt;0),E64/D64,"")</f>
        <v/>
      </c>
      <c r="J64" s="9" t="str">
        <f aca="false">IF(AND(B64&lt;&gt;"",F64&gt;0),G64/F64,"")</f>
        <v/>
      </c>
      <c r="K64" s="19" t="str">
        <f aca="false">IF(OR(I64="",J64=""),"",IF(AND(I64&gt;=Settings!$B$6,J64&gt;=Settings!$B$7),"On target","Below target"))</f>
        <v/>
      </c>
      <c r="L64" s="19" t="str">
        <f aca="false">IF(B64="","",IF(OR(E64&gt;D64,G64&gt;F64,D64&lt;0,E64&lt;0,F64&lt;0,G64&lt;0),"Check numbers","OK"))</f>
        <v/>
      </c>
    </row>
    <row r="65" customFormat="false" ht="15" hidden="false" customHeight="false" outlineLevel="0" collapsed="false">
      <c r="A65" s="15"/>
      <c r="B65" s="16"/>
      <c r="C65" s="16"/>
      <c r="D65" s="20"/>
      <c r="E65" s="20"/>
      <c r="F65" s="20"/>
      <c r="G65" s="20"/>
      <c r="H65" s="10" t="str">
        <f aca="false">IF(B65="","",IFERROR(INDEX(Campaigns!$B$5:$B$24,MATCH(B65,Campaigns!$A$5:$A$24,0)),"ID not found"))</f>
        <v/>
      </c>
      <c r="I65" s="9" t="str">
        <f aca="false">IF(AND(B65&lt;&gt;"",D65&gt;0),E65/D65,"")</f>
        <v/>
      </c>
      <c r="J65" s="9" t="str">
        <f aca="false">IF(AND(B65&lt;&gt;"",F65&gt;0),G65/F65,"")</f>
        <v/>
      </c>
      <c r="K65" s="19" t="str">
        <f aca="false">IF(OR(I65="",J65=""),"",IF(AND(I65&gt;=Settings!$B$6,J65&gt;=Settings!$B$7),"On target","Below target"))</f>
        <v/>
      </c>
      <c r="L65" s="19" t="str">
        <f aca="false">IF(B65="","",IF(OR(E65&gt;D65,G65&gt;F65,D65&lt;0,E65&lt;0,F65&lt;0,G65&lt;0),"Check numbers","OK"))</f>
        <v/>
      </c>
    </row>
    <row r="66" customFormat="false" ht="15" hidden="false" customHeight="false" outlineLevel="0" collapsed="false">
      <c r="A66" s="15"/>
      <c r="B66" s="16"/>
      <c r="C66" s="16"/>
      <c r="D66" s="20"/>
      <c r="E66" s="20"/>
      <c r="F66" s="20"/>
      <c r="G66" s="20"/>
      <c r="H66" s="10" t="str">
        <f aca="false">IF(B66="","",IFERROR(INDEX(Campaigns!$B$5:$B$24,MATCH(B66,Campaigns!$A$5:$A$24,0)),"ID not found"))</f>
        <v/>
      </c>
      <c r="I66" s="9" t="str">
        <f aca="false">IF(AND(B66&lt;&gt;"",D66&gt;0),E66/D66,"")</f>
        <v/>
      </c>
      <c r="J66" s="9" t="str">
        <f aca="false">IF(AND(B66&lt;&gt;"",F66&gt;0),G66/F66,"")</f>
        <v/>
      </c>
      <c r="K66" s="19" t="str">
        <f aca="false">IF(OR(I66="",J66=""),"",IF(AND(I66&gt;=Settings!$B$6,J66&gt;=Settings!$B$7),"On target","Below target"))</f>
        <v/>
      </c>
      <c r="L66" s="19" t="str">
        <f aca="false">IF(B66="","",IF(OR(E66&gt;D66,G66&gt;F66,D66&lt;0,E66&lt;0,F66&lt;0,G66&lt;0),"Check numbers","OK"))</f>
        <v/>
      </c>
    </row>
    <row r="67" customFormat="false" ht="15" hidden="false" customHeight="false" outlineLevel="0" collapsed="false">
      <c r="A67" s="15"/>
      <c r="B67" s="16"/>
      <c r="C67" s="16"/>
      <c r="D67" s="20"/>
      <c r="E67" s="20"/>
      <c r="F67" s="20"/>
      <c r="G67" s="20"/>
      <c r="H67" s="10" t="str">
        <f aca="false">IF(B67="","",IFERROR(INDEX(Campaigns!$B$5:$B$24,MATCH(B67,Campaigns!$A$5:$A$24,0)),"ID not found"))</f>
        <v/>
      </c>
      <c r="I67" s="9" t="str">
        <f aca="false">IF(AND(B67&lt;&gt;"",D67&gt;0),E67/D67,"")</f>
        <v/>
      </c>
      <c r="J67" s="9" t="str">
        <f aca="false">IF(AND(B67&lt;&gt;"",F67&gt;0),G67/F67,"")</f>
        <v/>
      </c>
      <c r="K67" s="19" t="str">
        <f aca="false">IF(OR(I67="",J67=""),"",IF(AND(I67&gt;=Settings!$B$6,J67&gt;=Settings!$B$7),"On target","Below target"))</f>
        <v/>
      </c>
      <c r="L67" s="19" t="str">
        <f aca="false">IF(B67="","",IF(OR(E67&gt;D67,G67&gt;F67,D67&lt;0,E67&lt;0,F67&lt;0,G67&lt;0),"Check numbers","OK"))</f>
        <v/>
      </c>
    </row>
    <row r="68" customFormat="false" ht="15" hidden="false" customHeight="false" outlineLevel="0" collapsed="false">
      <c r="A68" s="15"/>
      <c r="B68" s="16"/>
      <c r="C68" s="16"/>
      <c r="D68" s="20"/>
      <c r="E68" s="20"/>
      <c r="F68" s="20"/>
      <c r="G68" s="20"/>
      <c r="H68" s="10" t="str">
        <f aca="false">IF(B68="","",IFERROR(INDEX(Campaigns!$B$5:$B$24,MATCH(B68,Campaigns!$A$5:$A$24,0)),"ID not found"))</f>
        <v/>
      </c>
      <c r="I68" s="9" t="str">
        <f aca="false">IF(AND(B68&lt;&gt;"",D68&gt;0),E68/D68,"")</f>
        <v/>
      </c>
      <c r="J68" s="9" t="str">
        <f aca="false">IF(AND(B68&lt;&gt;"",F68&gt;0),G68/F68,"")</f>
        <v/>
      </c>
      <c r="K68" s="19" t="str">
        <f aca="false">IF(OR(I68="",J68=""),"",IF(AND(I68&gt;=Settings!$B$6,J68&gt;=Settings!$B$7),"On target","Below target"))</f>
        <v/>
      </c>
      <c r="L68" s="19" t="str">
        <f aca="false">IF(B68="","",IF(OR(E68&gt;D68,G68&gt;F68,D68&lt;0,E68&lt;0,F68&lt;0,G68&lt;0),"Check numbers","OK"))</f>
        <v/>
      </c>
    </row>
    <row r="69" customFormat="false" ht="15" hidden="false" customHeight="false" outlineLevel="0" collapsed="false">
      <c r="A69" s="15"/>
      <c r="B69" s="16"/>
      <c r="C69" s="16"/>
      <c r="D69" s="20"/>
      <c r="E69" s="20"/>
      <c r="F69" s="20"/>
      <c r="G69" s="20"/>
      <c r="H69" s="10" t="str">
        <f aca="false">IF(B69="","",IFERROR(INDEX(Campaigns!$B$5:$B$24,MATCH(B69,Campaigns!$A$5:$A$24,0)),"ID not found"))</f>
        <v/>
      </c>
      <c r="I69" s="9" t="str">
        <f aca="false">IF(AND(B69&lt;&gt;"",D69&gt;0),E69/D69,"")</f>
        <v/>
      </c>
      <c r="J69" s="9" t="str">
        <f aca="false">IF(AND(B69&lt;&gt;"",F69&gt;0),G69/F69,"")</f>
        <v/>
      </c>
      <c r="K69" s="19" t="str">
        <f aca="false">IF(OR(I69="",J69=""),"",IF(AND(I69&gt;=Settings!$B$6,J69&gt;=Settings!$B$7),"On target","Below target"))</f>
        <v/>
      </c>
      <c r="L69" s="19" t="str">
        <f aca="false">IF(B69="","",IF(OR(E69&gt;D69,G69&gt;F69,D69&lt;0,E69&lt;0,F69&lt;0,G69&lt;0),"Check numbers","OK"))</f>
        <v/>
      </c>
    </row>
    <row r="70" customFormat="false" ht="15" hidden="false" customHeight="false" outlineLevel="0" collapsed="false">
      <c r="A70" s="15"/>
      <c r="B70" s="16"/>
      <c r="C70" s="16"/>
      <c r="D70" s="20"/>
      <c r="E70" s="20"/>
      <c r="F70" s="20"/>
      <c r="G70" s="20"/>
      <c r="H70" s="10" t="str">
        <f aca="false">IF(B70="","",IFERROR(INDEX(Campaigns!$B$5:$B$24,MATCH(B70,Campaigns!$A$5:$A$24,0)),"ID not found"))</f>
        <v/>
      </c>
      <c r="I70" s="9" t="str">
        <f aca="false">IF(AND(B70&lt;&gt;"",D70&gt;0),E70/D70,"")</f>
        <v/>
      </c>
      <c r="J70" s="9" t="str">
        <f aca="false">IF(AND(B70&lt;&gt;"",F70&gt;0),G70/F70,"")</f>
        <v/>
      </c>
      <c r="K70" s="19" t="str">
        <f aca="false">IF(OR(I70="",J70=""),"",IF(AND(I70&gt;=Settings!$B$6,J70&gt;=Settings!$B$7),"On target","Below target"))</f>
        <v/>
      </c>
      <c r="L70" s="19" t="str">
        <f aca="false">IF(B70="","",IF(OR(E70&gt;D70,G70&gt;F70,D70&lt;0,E70&lt;0,F70&lt;0,G70&lt;0),"Check numbers","OK"))</f>
        <v/>
      </c>
    </row>
    <row r="71" customFormat="false" ht="15" hidden="false" customHeight="false" outlineLevel="0" collapsed="false">
      <c r="A71" s="15"/>
      <c r="B71" s="16"/>
      <c r="C71" s="16"/>
      <c r="D71" s="20"/>
      <c r="E71" s="20"/>
      <c r="F71" s="20"/>
      <c r="G71" s="20"/>
      <c r="H71" s="10" t="str">
        <f aca="false">IF(B71="","",IFERROR(INDEX(Campaigns!$B$5:$B$24,MATCH(B71,Campaigns!$A$5:$A$24,0)),"ID not found"))</f>
        <v/>
      </c>
      <c r="I71" s="9" t="str">
        <f aca="false">IF(AND(B71&lt;&gt;"",D71&gt;0),E71/D71,"")</f>
        <v/>
      </c>
      <c r="J71" s="9" t="str">
        <f aca="false">IF(AND(B71&lt;&gt;"",F71&gt;0),G71/F71,"")</f>
        <v/>
      </c>
      <c r="K71" s="19" t="str">
        <f aca="false">IF(OR(I71="",J71=""),"",IF(AND(I71&gt;=Settings!$B$6,J71&gt;=Settings!$B$7),"On target","Below target"))</f>
        <v/>
      </c>
      <c r="L71" s="19" t="str">
        <f aca="false">IF(B71="","",IF(OR(E71&gt;D71,G71&gt;F71,D71&lt;0,E71&lt;0,F71&lt;0,G71&lt;0),"Check numbers","OK"))</f>
        <v/>
      </c>
    </row>
    <row r="72" customFormat="false" ht="15" hidden="false" customHeight="false" outlineLevel="0" collapsed="false">
      <c r="A72" s="15"/>
      <c r="B72" s="16"/>
      <c r="C72" s="16"/>
      <c r="D72" s="20"/>
      <c r="E72" s="20"/>
      <c r="F72" s="20"/>
      <c r="G72" s="20"/>
      <c r="H72" s="10" t="str">
        <f aca="false">IF(B72="","",IFERROR(INDEX(Campaigns!$B$5:$B$24,MATCH(B72,Campaigns!$A$5:$A$24,0)),"ID not found"))</f>
        <v/>
      </c>
      <c r="I72" s="9" t="str">
        <f aca="false">IF(AND(B72&lt;&gt;"",D72&gt;0),E72/D72,"")</f>
        <v/>
      </c>
      <c r="J72" s="9" t="str">
        <f aca="false">IF(AND(B72&lt;&gt;"",F72&gt;0),G72/F72,"")</f>
        <v/>
      </c>
      <c r="K72" s="19" t="str">
        <f aca="false">IF(OR(I72="",J72=""),"",IF(AND(I72&gt;=Settings!$B$6,J72&gt;=Settings!$B$7),"On target","Below target"))</f>
        <v/>
      </c>
      <c r="L72" s="19" t="str">
        <f aca="false">IF(B72="","",IF(OR(E72&gt;D72,G72&gt;F72,D72&lt;0,E72&lt;0,F72&lt;0,G72&lt;0),"Check numbers","OK"))</f>
        <v/>
      </c>
    </row>
    <row r="73" customFormat="false" ht="15" hidden="false" customHeight="false" outlineLevel="0" collapsed="false">
      <c r="A73" s="15"/>
      <c r="B73" s="16"/>
      <c r="C73" s="16"/>
      <c r="D73" s="20"/>
      <c r="E73" s="20"/>
      <c r="F73" s="20"/>
      <c r="G73" s="20"/>
      <c r="H73" s="10" t="str">
        <f aca="false">IF(B73="","",IFERROR(INDEX(Campaigns!$B$5:$B$24,MATCH(B73,Campaigns!$A$5:$A$24,0)),"ID not found"))</f>
        <v/>
      </c>
      <c r="I73" s="9" t="str">
        <f aca="false">IF(AND(B73&lt;&gt;"",D73&gt;0),E73/D73,"")</f>
        <v/>
      </c>
      <c r="J73" s="9" t="str">
        <f aca="false">IF(AND(B73&lt;&gt;"",F73&gt;0),G73/F73,"")</f>
        <v/>
      </c>
      <c r="K73" s="19" t="str">
        <f aca="false">IF(OR(I73="",J73=""),"",IF(AND(I73&gt;=Settings!$B$6,J73&gt;=Settings!$B$7),"On target","Below target"))</f>
        <v/>
      </c>
      <c r="L73" s="19" t="str">
        <f aca="false">IF(B73="","",IF(OR(E73&gt;D73,G73&gt;F73,D73&lt;0,E73&lt;0,F73&lt;0,G73&lt;0),"Check numbers","OK"))</f>
        <v/>
      </c>
    </row>
    <row r="74" customFormat="false" ht="15" hidden="false" customHeight="false" outlineLevel="0" collapsed="false">
      <c r="A74" s="15"/>
      <c r="B74" s="16"/>
      <c r="C74" s="16"/>
      <c r="D74" s="20"/>
      <c r="E74" s="20"/>
      <c r="F74" s="20"/>
      <c r="G74" s="20"/>
      <c r="H74" s="10" t="str">
        <f aca="false">IF(B74="","",IFERROR(INDEX(Campaigns!$B$5:$B$24,MATCH(B74,Campaigns!$A$5:$A$24,0)),"ID not found"))</f>
        <v/>
      </c>
      <c r="I74" s="9" t="str">
        <f aca="false">IF(AND(B74&lt;&gt;"",D74&gt;0),E74/D74,"")</f>
        <v/>
      </c>
      <c r="J74" s="9" t="str">
        <f aca="false">IF(AND(B74&lt;&gt;"",F74&gt;0),G74/F74,"")</f>
        <v/>
      </c>
      <c r="K74" s="19" t="str">
        <f aca="false">IF(OR(I74="",J74=""),"",IF(AND(I74&gt;=Settings!$B$6,J74&gt;=Settings!$B$7),"On target","Below target"))</f>
        <v/>
      </c>
      <c r="L74" s="19" t="str">
        <f aca="false">IF(B74="","",IF(OR(E74&gt;D74,G74&gt;F74,D74&lt;0,E74&lt;0,F74&lt;0,G74&lt;0),"Check numbers","OK"))</f>
        <v/>
      </c>
    </row>
    <row r="75" customFormat="false" ht="15" hidden="false" customHeight="false" outlineLevel="0" collapsed="false">
      <c r="A75" s="15"/>
      <c r="B75" s="16"/>
      <c r="C75" s="16"/>
      <c r="D75" s="20"/>
      <c r="E75" s="20"/>
      <c r="F75" s="20"/>
      <c r="G75" s="20"/>
      <c r="H75" s="10" t="str">
        <f aca="false">IF(B75="","",IFERROR(INDEX(Campaigns!$B$5:$B$24,MATCH(B75,Campaigns!$A$5:$A$24,0)),"ID not found"))</f>
        <v/>
      </c>
      <c r="I75" s="9" t="str">
        <f aca="false">IF(AND(B75&lt;&gt;"",D75&gt;0),E75/D75,"")</f>
        <v/>
      </c>
      <c r="J75" s="9" t="str">
        <f aca="false">IF(AND(B75&lt;&gt;"",F75&gt;0),G75/F75,"")</f>
        <v/>
      </c>
      <c r="K75" s="19" t="str">
        <f aca="false">IF(OR(I75="",J75=""),"",IF(AND(I75&gt;=Settings!$B$6,J75&gt;=Settings!$B$7),"On target","Below target"))</f>
        <v/>
      </c>
      <c r="L75" s="19" t="str">
        <f aca="false">IF(B75="","",IF(OR(E75&gt;D75,G75&gt;F75,D75&lt;0,E75&lt;0,F75&lt;0,G75&lt;0),"Check numbers","OK"))</f>
        <v/>
      </c>
    </row>
    <row r="76" customFormat="false" ht="15" hidden="false" customHeight="false" outlineLevel="0" collapsed="false">
      <c r="A76" s="15"/>
      <c r="B76" s="16"/>
      <c r="C76" s="16"/>
      <c r="D76" s="20"/>
      <c r="E76" s="20"/>
      <c r="F76" s="20"/>
      <c r="G76" s="20"/>
      <c r="H76" s="10" t="str">
        <f aca="false">IF(B76="","",IFERROR(INDEX(Campaigns!$B$5:$B$24,MATCH(B76,Campaigns!$A$5:$A$24,0)),"ID not found"))</f>
        <v/>
      </c>
      <c r="I76" s="9" t="str">
        <f aca="false">IF(AND(B76&lt;&gt;"",D76&gt;0),E76/D76,"")</f>
        <v/>
      </c>
      <c r="J76" s="9" t="str">
        <f aca="false">IF(AND(B76&lt;&gt;"",F76&gt;0),G76/F76,"")</f>
        <v/>
      </c>
      <c r="K76" s="19" t="str">
        <f aca="false">IF(OR(I76="",J76=""),"",IF(AND(I76&gt;=Settings!$B$6,J76&gt;=Settings!$B$7),"On target","Below target"))</f>
        <v/>
      </c>
      <c r="L76" s="19" t="str">
        <f aca="false">IF(B76="","",IF(OR(E76&gt;D76,G76&gt;F76,D76&lt;0,E76&lt;0,F76&lt;0,G76&lt;0),"Check numbers","OK"))</f>
        <v/>
      </c>
    </row>
    <row r="77" customFormat="false" ht="15" hidden="false" customHeight="false" outlineLevel="0" collapsed="false">
      <c r="A77" s="15"/>
      <c r="B77" s="16"/>
      <c r="C77" s="16"/>
      <c r="D77" s="20"/>
      <c r="E77" s="20"/>
      <c r="F77" s="20"/>
      <c r="G77" s="20"/>
      <c r="H77" s="10" t="str">
        <f aca="false">IF(B77="","",IFERROR(INDEX(Campaigns!$B$5:$B$24,MATCH(B77,Campaigns!$A$5:$A$24,0)),"ID not found"))</f>
        <v/>
      </c>
      <c r="I77" s="9" t="str">
        <f aca="false">IF(AND(B77&lt;&gt;"",D77&gt;0),E77/D77,"")</f>
        <v/>
      </c>
      <c r="J77" s="9" t="str">
        <f aca="false">IF(AND(B77&lt;&gt;"",F77&gt;0),G77/F77,"")</f>
        <v/>
      </c>
      <c r="K77" s="19" t="str">
        <f aca="false">IF(OR(I77="",J77=""),"",IF(AND(I77&gt;=Settings!$B$6,J77&gt;=Settings!$B$7),"On target","Below target"))</f>
        <v/>
      </c>
      <c r="L77" s="19" t="str">
        <f aca="false">IF(B77="","",IF(OR(E77&gt;D77,G77&gt;F77,D77&lt;0,E77&lt;0,F77&lt;0,G77&lt;0),"Check numbers","OK"))</f>
        <v/>
      </c>
    </row>
    <row r="78" customFormat="false" ht="15" hidden="false" customHeight="false" outlineLevel="0" collapsed="false">
      <c r="A78" s="15"/>
      <c r="B78" s="16"/>
      <c r="C78" s="16"/>
      <c r="D78" s="20"/>
      <c r="E78" s="20"/>
      <c r="F78" s="20"/>
      <c r="G78" s="20"/>
      <c r="H78" s="10" t="str">
        <f aca="false">IF(B78="","",IFERROR(INDEX(Campaigns!$B$5:$B$24,MATCH(B78,Campaigns!$A$5:$A$24,0)),"ID not found"))</f>
        <v/>
      </c>
      <c r="I78" s="9" t="str">
        <f aca="false">IF(AND(B78&lt;&gt;"",D78&gt;0),E78/D78,"")</f>
        <v/>
      </c>
      <c r="J78" s="9" t="str">
        <f aca="false">IF(AND(B78&lt;&gt;"",F78&gt;0),G78/F78,"")</f>
        <v/>
      </c>
      <c r="K78" s="19" t="str">
        <f aca="false">IF(OR(I78="",J78=""),"",IF(AND(I78&gt;=Settings!$B$6,J78&gt;=Settings!$B$7),"On target","Below target"))</f>
        <v/>
      </c>
      <c r="L78" s="19" t="str">
        <f aca="false">IF(B78="","",IF(OR(E78&gt;D78,G78&gt;F78,D78&lt;0,E78&lt;0,F78&lt;0,G78&lt;0),"Check numbers","OK"))</f>
        <v/>
      </c>
    </row>
    <row r="79" customFormat="false" ht="15" hidden="false" customHeight="false" outlineLevel="0" collapsed="false">
      <c r="A79" s="15"/>
      <c r="B79" s="16"/>
      <c r="C79" s="16"/>
      <c r="D79" s="20"/>
      <c r="E79" s="20"/>
      <c r="F79" s="20"/>
      <c r="G79" s="20"/>
      <c r="H79" s="10" t="str">
        <f aca="false">IF(B79="","",IFERROR(INDEX(Campaigns!$B$5:$B$24,MATCH(B79,Campaigns!$A$5:$A$24,0)),"ID not found"))</f>
        <v/>
      </c>
      <c r="I79" s="9" t="str">
        <f aca="false">IF(AND(B79&lt;&gt;"",D79&gt;0),E79/D79,"")</f>
        <v/>
      </c>
      <c r="J79" s="9" t="str">
        <f aca="false">IF(AND(B79&lt;&gt;"",F79&gt;0),G79/F79,"")</f>
        <v/>
      </c>
      <c r="K79" s="19" t="str">
        <f aca="false">IF(OR(I79="",J79=""),"",IF(AND(I79&gt;=Settings!$B$6,J79&gt;=Settings!$B$7),"On target","Below target"))</f>
        <v/>
      </c>
      <c r="L79" s="19" t="str">
        <f aca="false">IF(B79="","",IF(OR(E79&gt;D79,G79&gt;F79,D79&lt;0,E79&lt;0,F79&lt;0,G79&lt;0),"Check numbers","OK"))</f>
        <v/>
      </c>
    </row>
    <row r="80" customFormat="false" ht="15" hidden="false" customHeight="false" outlineLevel="0" collapsed="false">
      <c r="A80" s="15"/>
      <c r="B80" s="16"/>
      <c r="C80" s="16"/>
      <c r="D80" s="20"/>
      <c r="E80" s="20"/>
      <c r="F80" s="20"/>
      <c r="G80" s="20"/>
      <c r="H80" s="10" t="str">
        <f aca="false">IF(B80="","",IFERROR(INDEX(Campaigns!$B$5:$B$24,MATCH(B80,Campaigns!$A$5:$A$24,0)),"ID not found"))</f>
        <v/>
      </c>
      <c r="I80" s="9" t="str">
        <f aca="false">IF(AND(B80&lt;&gt;"",D80&gt;0),E80/D80,"")</f>
        <v/>
      </c>
      <c r="J80" s="9" t="str">
        <f aca="false">IF(AND(B80&lt;&gt;"",F80&gt;0),G80/F80,"")</f>
        <v/>
      </c>
      <c r="K80" s="19" t="str">
        <f aca="false">IF(OR(I80="",J80=""),"",IF(AND(I80&gt;=Settings!$B$6,J80&gt;=Settings!$B$7),"On target","Below target"))</f>
        <v/>
      </c>
      <c r="L80" s="19" t="str">
        <f aca="false">IF(B80="","",IF(OR(E80&gt;D80,G80&gt;F80,D80&lt;0,E80&lt;0,F80&lt;0,G80&lt;0),"Check numbers","OK"))</f>
        <v/>
      </c>
    </row>
    <row r="81" customFormat="false" ht="15" hidden="false" customHeight="false" outlineLevel="0" collapsed="false">
      <c r="A81" s="15"/>
      <c r="B81" s="16"/>
      <c r="C81" s="16"/>
      <c r="D81" s="20"/>
      <c r="E81" s="20"/>
      <c r="F81" s="20"/>
      <c r="G81" s="20"/>
      <c r="H81" s="10" t="str">
        <f aca="false">IF(B81="","",IFERROR(INDEX(Campaigns!$B$5:$B$24,MATCH(B81,Campaigns!$A$5:$A$24,0)),"ID not found"))</f>
        <v/>
      </c>
      <c r="I81" s="9" t="str">
        <f aca="false">IF(AND(B81&lt;&gt;"",D81&gt;0),E81/D81,"")</f>
        <v/>
      </c>
      <c r="J81" s="9" t="str">
        <f aca="false">IF(AND(B81&lt;&gt;"",F81&gt;0),G81/F81,"")</f>
        <v/>
      </c>
      <c r="K81" s="19" t="str">
        <f aca="false">IF(OR(I81="",J81=""),"",IF(AND(I81&gt;=Settings!$B$6,J81&gt;=Settings!$B$7),"On target","Below target"))</f>
        <v/>
      </c>
      <c r="L81" s="19" t="str">
        <f aca="false">IF(B81="","",IF(OR(E81&gt;D81,G81&gt;F81,D81&lt;0,E81&lt;0,F81&lt;0,G81&lt;0),"Check numbers","OK"))</f>
        <v/>
      </c>
    </row>
    <row r="82" customFormat="false" ht="15" hidden="false" customHeight="false" outlineLevel="0" collapsed="false">
      <c r="A82" s="15"/>
      <c r="B82" s="16"/>
      <c r="C82" s="16"/>
      <c r="D82" s="20"/>
      <c r="E82" s="20"/>
      <c r="F82" s="20"/>
      <c r="G82" s="20"/>
      <c r="H82" s="10" t="str">
        <f aca="false">IF(B82="","",IFERROR(INDEX(Campaigns!$B$5:$B$24,MATCH(B82,Campaigns!$A$5:$A$24,0)),"ID not found"))</f>
        <v/>
      </c>
      <c r="I82" s="9" t="str">
        <f aca="false">IF(AND(B82&lt;&gt;"",D82&gt;0),E82/D82,"")</f>
        <v/>
      </c>
      <c r="J82" s="9" t="str">
        <f aca="false">IF(AND(B82&lt;&gt;"",F82&gt;0),G82/F82,"")</f>
        <v/>
      </c>
      <c r="K82" s="19" t="str">
        <f aca="false">IF(OR(I82="",J82=""),"",IF(AND(I82&gt;=Settings!$B$6,J82&gt;=Settings!$B$7),"On target","Below target"))</f>
        <v/>
      </c>
      <c r="L82" s="19" t="str">
        <f aca="false">IF(B82="","",IF(OR(E82&gt;D82,G82&gt;F82,D82&lt;0,E82&lt;0,F82&lt;0,G82&lt;0),"Check numbers","OK"))</f>
        <v/>
      </c>
    </row>
    <row r="83" customFormat="false" ht="15" hidden="false" customHeight="false" outlineLevel="0" collapsed="false">
      <c r="A83" s="15"/>
      <c r="B83" s="16"/>
      <c r="C83" s="16"/>
      <c r="D83" s="20"/>
      <c r="E83" s="20"/>
      <c r="F83" s="20"/>
      <c r="G83" s="20"/>
      <c r="H83" s="10" t="str">
        <f aca="false">IF(B83="","",IFERROR(INDEX(Campaigns!$B$5:$B$24,MATCH(B83,Campaigns!$A$5:$A$24,0)),"ID not found"))</f>
        <v/>
      </c>
      <c r="I83" s="9" t="str">
        <f aca="false">IF(AND(B83&lt;&gt;"",D83&gt;0),E83/D83,"")</f>
        <v/>
      </c>
      <c r="J83" s="9" t="str">
        <f aca="false">IF(AND(B83&lt;&gt;"",F83&gt;0),G83/F83,"")</f>
        <v/>
      </c>
      <c r="K83" s="19" t="str">
        <f aca="false">IF(OR(I83="",J83=""),"",IF(AND(I83&gt;=Settings!$B$6,J83&gt;=Settings!$B$7),"On target","Below target"))</f>
        <v/>
      </c>
      <c r="L83" s="19" t="str">
        <f aca="false">IF(B83="","",IF(OR(E83&gt;D83,G83&gt;F83,D83&lt;0,E83&lt;0,F83&lt;0,G83&lt;0),"Check numbers","OK"))</f>
        <v/>
      </c>
    </row>
    <row r="84" customFormat="false" ht="15" hidden="false" customHeight="false" outlineLevel="0" collapsed="false">
      <c r="A84" s="15"/>
      <c r="B84" s="16"/>
      <c r="C84" s="16"/>
      <c r="D84" s="20"/>
      <c r="E84" s="20"/>
      <c r="F84" s="20"/>
      <c r="G84" s="20"/>
      <c r="H84" s="10" t="str">
        <f aca="false">IF(B84="","",IFERROR(INDEX(Campaigns!$B$5:$B$24,MATCH(B84,Campaigns!$A$5:$A$24,0)),"ID not found"))</f>
        <v/>
      </c>
      <c r="I84" s="9" t="str">
        <f aca="false">IF(AND(B84&lt;&gt;"",D84&gt;0),E84/D84,"")</f>
        <v/>
      </c>
      <c r="J84" s="9" t="str">
        <f aca="false">IF(AND(B84&lt;&gt;"",F84&gt;0),G84/F84,"")</f>
        <v/>
      </c>
      <c r="K84" s="19" t="str">
        <f aca="false">IF(OR(I84="",J84=""),"",IF(AND(I84&gt;=Settings!$B$6,J84&gt;=Settings!$B$7),"On target","Below target"))</f>
        <v/>
      </c>
      <c r="L84" s="19" t="str">
        <f aca="false">IF(B84="","",IF(OR(E84&gt;D84,G84&gt;F84,D84&lt;0,E84&lt;0,F84&lt;0,G84&lt;0),"Check numbers","OK"))</f>
        <v/>
      </c>
    </row>
    <row r="85" customFormat="false" ht="15" hidden="false" customHeight="false" outlineLevel="0" collapsed="false">
      <c r="A85" s="15"/>
      <c r="B85" s="16"/>
      <c r="C85" s="16"/>
      <c r="D85" s="20"/>
      <c r="E85" s="20"/>
      <c r="F85" s="20"/>
      <c r="G85" s="20"/>
      <c r="H85" s="10" t="str">
        <f aca="false">IF(B85="","",IFERROR(INDEX(Campaigns!$B$5:$B$24,MATCH(B85,Campaigns!$A$5:$A$24,0)),"ID not found"))</f>
        <v/>
      </c>
      <c r="I85" s="9" t="str">
        <f aca="false">IF(AND(B85&lt;&gt;"",D85&gt;0),E85/D85,"")</f>
        <v/>
      </c>
      <c r="J85" s="9" t="str">
        <f aca="false">IF(AND(B85&lt;&gt;"",F85&gt;0),G85/F85,"")</f>
        <v/>
      </c>
      <c r="K85" s="19" t="str">
        <f aca="false">IF(OR(I85="",J85=""),"",IF(AND(I85&gt;=Settings!$B$6,J85&gt;=Settings!$B$7),"On target","Below target"))</f>
        <v/>
      </c>
      <c r="L85" s="19" t="str">
        <f aca="false">IF(B85="","",IF(OR(E85&gt;D85,G85&gt;F85,D85&lt;0,E85&lt;0,F85&lt;0,G85&lt;0),"Check numbers","OK"))</f>
        <v/>
      </c>
    </row>
    <row r="86" customFormat="false" ht="15" hidden="false" customHeight="false" outlineLevel="0" collapsed="false">
      <c r="A86" s="15"/>
      <c r="B86" s="16"/>
      <c r="C86" s="16"/>
      <c r="D86" s="20"/>
      <c r="E86" s="20"/>
      <c r="F86" s="20"/>
      <c r="G86" s="20"/>
      <c r="H86" s="10" t="str">
        <f aca="false">IF(B86="","",IFERROR(INDEX(Campaigns!$B$5:$B$24,MATCH(B86,Campaigns!$A$5:$A$24,0)),"ID not found"))</f>
        <v/>
      </c>
      <c r="I86" s="9" t="str">
        <f aca="false">IF(AND(B86&lt;&gt;"",D86&gt;0),E86/D86,"")</f>
        <v/>
      </c>
      <c r="J86" s="9" t="str">
        <f aca="false">IF(AND(B86&lt;&gt;"",F86&gt;0),G86/F86,"")</f>
        <v/>
      </c>
      <c r="K86" s="19" t="str">
        <f aca="false">IF(OR(I86="",J86=""),"",IF(AND(I86&gt;=Settings!$B$6,J86&gt;=Settings!$B$7),"On target","Below target"))</f>
        <v/>
      </c>
      <c r="L86" s="19" t="str">
        <f aca="false">IF(B86="","",IF(OR(E86&gt;D86,G86&gt;F86,D86&lt;0,E86&lt;0,F86&lt;0,G86&lt;0),"Check numbers","OK"))</f>
        <v/>
      </c>
    </row>
    <row r="87" customFormat="false" ht="15" hidden="false" customHeight="false" outlineLevel="0" collapsed="false">
      <c r="A87" s="15"/>
      <c r="B87" s="16"/>
      <c r="C87" s="16"/>
      <c r="D87" s="20"/>
      <c r="E87" s="20"/>
      <c r="F87" s="20"/>
      <c r="G87" s="20"/>
      <c r="H87" s="10" t="str">
        <f aca="false">IF(B87="","",IFERROR(INDEX(Campaigns!$B$5:$B$24,MATCH(B87,Campaigns!$A$5:$A$24,0)),"ID not found"))</f>
        <v/>
      </c>
      <c r="I87" s="9" t="str">
        <f aca="false">IF(AND(B87&lt;&gt;"",D87&gt;0),E87/D87,"")</f>
        <v/>
      </c>
      <c r="J87" s="9" t="str">
        <f aca="false">IF(AND(B87&lt;&gt;"",F87&gt;0),G87/F87,"")</f>
        <v/>
      </c>
      <c r="K87" s="19" t="str">
        <f aca="false">IF(OR(I87="",J87=""),"",IF(AND(I87&gt;=Settings!$B$6,J87&gt;=Settings!$B$7),"On target","Below target"))</f>
        <v/>
      </c>
      <c r="L87" s="19" t="str">
        <f aca="false">IF(B87="","",IF(OR(E87&gt;D87,G87&gt;F87,D87&lt;0,E87&lt;0,F87&lt;0,G87&lt;0),"Check numbers","OK"))</f>
        <v/>
      </c>
    </row>
    <row r="88" customFormat="false" ht="15" hidden="false" customHeight="false" outlineLevel="0" collapsed="false">
      <c r="A88" s="15"/>
      <c r="B88" s="16"/>
      <c r="C88" s="16"/>
      <c r="D88" s="20"/>
      <c r="E88" s="20"/>
      <c r="F88" s="20"/>
      <c r="G88" s="20"/>
      <c r="H88" s="10" t="str">
        <f aca="false">IF(B88="","",IFERROR(INDEX(Campaigns!$B$5:$B$24,MATCH(B88,Campaigns!$A$5:$A$24,0)),"ID not found"))</f>
        <v/>
      </c>
      <c r="I88" s="9" t="str">
        <f aca="false">IF(AND(B88&lt;&gt;"",D88&gt;0),E88/D88,"")</f>
        <v/>
      </c>
      <c r="J88" s="9" t="str">
        <f aca="false">IF(AND(B88&lt;&gt;"",F88&gt;0),G88/F88,"")</f>
        <v/>
      </c>
      <c r="K88" s="19" t="str">
        <f aca="false">IF(OR(I88="",J88=""),"",IF(AND(I88&gt;=Settings!$B$6,J88&gt;=Settings!$B$7),"On target","Below target"))</f>
        <v/>
      </c>
      <c r="L88" s="19" t="str">
        <f aca="false">IF(B88="","",IF(OR(E88&gt;D88,G88&gt;F88,D88&lt;0,E88&lt;0,F88&lt;0,G88&lt;0),"Check numbers","OK"))</f>
        <v/>
      </c>
    </row>
    <row r="89" customFormat="false" ht="15" hidden="false" customHeight="false" outlineLevel="0" collapsed="false">
      <c r="A89" s="15"/>
      <c r="B89" s="16"/>
      <c r="C89" s="16"/>
      <c r="D89" s="20"/>
      <c r="E89" s="20"/>
      <c r="F89" s="20"/>
      <c r="G89" s="20"/>
      <c r="H89" s="10" t="str">
        <f aca="false">IF(B89="","",IFERROR(INDEX(Campaigns!$B$5:$B$24,MATCH(B89,Campaigns!$A$5:$A$24,0)),"ID not found"))</f>
        <v/>
      </c>
      <c r="I89" s="9" t="str">
        <f aca="false">IF(AND(B89&lt;&gt;"",D89&gt;0),E89/D89,"")</f>
        <v/>
      </c>
      <c r="J89" s="9" t="str">
        <f aca="false">IF(AND(B89&lt;&gt;"",F89&gt;0),G89/F89,"")</f>
        <v/>
      </c>
      <c r="K89" s="19" t="str">
        <f aca="false">IF(OR(I89="",J89=""),"",IF(AND(I89&gt;=Settings!$B$6,J89&gt;=Settings!$B$7),"On target","Below target"))</f>
        <v/>
      </c>
      <c r="L89" s="19" t="str">
        <f aca="false">IF(B89="","",IF(OR(E89&gt;D89,G89&gt;F89,D89&lt;0,E89&lt;0,F89&lt;0,G89&lt;0),"Check numbers","OK"))</f>
        <v/>
      </c>
    </row>
    <row r="90" customFormat="false" ht="15" hidden="false" customHeight="false" outlineLevel="0" collapsed="false">
      <c r="A90" s="15"/>
      <c r="B90" s="16"/>
      <c r="C90" s="16"/>
      <c r="D90" s="20"/>
      <c r="E90" s="20"/>
      <c r="F90" s="20"/>
      <c r="G90" s="20"/>
      <c r="H90" s="10" t="str">
        <f aca="false">IF(B90="","",IFERROR(INDEX(Campaigns!$B$5:$B$24,MATCH(B90,Campaigns!$A$5:$A$24,0)),"ID not found"))</f>
        <v/>
      </c>
      <c r="I90" s="9" t="str">
        <f aca="false">IF(AND(B90&lt;&gt;"",D90&gt;0),E90/D90,"")</f>
        <v/>
      </c>
      <c r="J90" s="9" t="str">
        <f aca="false">IF(AND(B90&lt;&gt;"",F90&gt;0),G90/F90,"")</f>
        <v/>
      </c>
      <c r="K90" s="19" t="str">
        <f aca="false">IF(OR(I90="",J90=""),"",IF(AND(I90&gt;=Settings!$B$6,J90&gt;=Settings!$B$7),"On target","Below target"))</f>
        <v/>
      </c>
      <c r="L90" s="19" t="str">
        <f aca="false">IF(B90="","",IF(OR(E90&gt;D90,G90&gt;F90,D90&lt;0,E90&lt;0,F90&lt;0,G90&lt;0),"Check numbers","OK"))</f>
        <v/>
      </c>
    </row>
    <row r="91" customFormat="false" ht="15" hidden="false" customHeight="false" outlineLevel="0" collapsed="false">
      <c r="A91" s="15"/>
      <c r="B91" s="16"/>
      <c r="C91" s="16"/>
      <c r="D91" s="20"/>
      <c r="E91" s="20"/>
      <c r="F91" s="20"/>
      <c r="G91" s="20"/>
      <c r="H91" s="10" t="str">
        <f aca="false">IF(B91="","",IFERROR(INDEX(Campaigns!$B$5:$B$24,MATCH(B91,Campaigns!$A$5:$A$24,0)),"ID not found"))</f>
        <v/>
      </c>
      <c r="I91" s="9" t="str">
        <f aca="false">IF(AND(B91&lt;&gt;"",D91&gt;0),E91/D91,"")</f>
        <v/>
      </c>
      <c r="J91" s="9" t="str">
        <f aca="false">IF(AND(B91&lt;&gt;"",F91&gt;0),G91/F91,"")</f>
        <v/>
      </c>
      <c r="K91" s="19" t="str">
        <f aca="false">IF(OR(I91="",J91=""),"",IF(AND(I91&gt;=Settings!$B$6,J91&gt;=Settings!$B$7),"On target","Below target"))</f>
        <v/>
      </c>
      <c r="L91" s="19" t="str">
        <f aca="false">IF(B91="","",IF(OR(E91&gt;D91,G91&gt;F91,D91&lt;0,E91&lt;0,F91&lt;0,G91&lt;0),"Check numbers","OK"))</f>
        <v/>
      </c>
    </row>
    <row r="92" customFormat="false" ht="15" hidden="false" customHeight="false" outlineLevel="0" collapsed="false">
      <c r="A92" s="15"/>
      <c r="B92" s="16"/>
      <c r="C92" s="16"/>
      <c r="D92" s="20"/>
      <c r="E92" s="20"/>
      <c r="F92" s="20"/>
      <c r="G92" s="20"/>
      <c r="H92" s="10" t="str">
        <f aca="false">IF(B92="","",IFERROR(INDEX(Campaigns!$B$5:$B$24,MATCH(B92,Campaigns!$A$5:$A$24,0)),"ID not found"))</f>
        <v/>
      </c>
      <c r="I92" s="9" t="str">
        <f aca="false">IF(AND(B92&lt;&gt;"",D92&gt;0),E92/D92,"")</f>
        <v/>
      </c>
      <c r="J92" s="9" t="str">
        <f aca="false">IF(AND(B92&lt;&gt;"",F92&gt;0),G92/F92,"")</f>
        <v/>
      </c>
      <c r="K92" s="19" t="str">
        <f aca="false">IF(OR(I92="",J92=""),"",IF(AND(I92&gt;=Settings!$B$6,J92&gt;=Settings!$B$7),"On target","Below target"))</f>
        <v/>
      </c>
      <c r="L92" s="19" t="str">
        <f aca="false">IF(B92="","",IF(OR(E92&gt;D92,G92&gt;F92,D92&lt;0,E92&lt;0,F92&lt;0,G92&lt;0),"Check numbers","OK"))</f>
        <v/>
      </c>
    </row>
    <row r="93" customFormat="false" ht="15" hidden="false" customHeight="false" outlineLevel="0" collapsed="false">
      <c r="A93" s="15"/>
      <c r="B93" s="16"/>
      <c r="C93" s="16"/>
      <c r="D93" s="20"/>
      <c r="E93" s="20"/>
      <c r="F93" s="20"/>
      <c r="G93" s="20"/>
      <c r="H93" s="10" t="str">
        <f aca="false">IF(B93="","",IFERROR(INDEX(Campaigns!$B$5:$B$24,MATCH(B93,Campaigns!$A$5:$A$24,0)),"ID not found"))</f>
        <v/>
      </c>
      <c r="I93" s="9" t="str">
        <f aca="false">IF(AND(B93&lt;&gt;"",D93&gt;0),E93/D93,"")</f>
        <v/>
      </c>
      <c r="J93" s="9" t="str">
        <f aca="false">IF(AND(B93&lt;&gt;"",F93&gt;0),G93/F93,"")</f>
        <v/>
      </c>
      <c r="K93" s="19" t="str">
        <f aca="false">IF(OR(I93="",J93=""),"",IF(AND(I93&gt;=Settings!$B$6,J93&gt;=Settings!$B$7),"On target","Below target"))</f>
        <v/>
      </c>
      <c r="L93" s="19" t="str">
        <f aca="false">IF(B93="","",IF(OR(E93&gt;D93,G93&gt;F93,D93&lt;0,E93&lt;0,F93&lt;0,G93&lt;0),"Check numbers","OK"))</f>
        <v/>
      </c>
    </row>
    <row r="94" customFormat="false" ht="15" hidden="false" customHeight="false" outlineLevel="0" collapsed="false">
      <c r="A94" s="15"/>
      <c r="B94" s="16"/>
      <c r="C94" s="16"/>
      <c r="D94" s="20"/>
      <c r="E94" s="20"/>
      <c r="F94" s="20"/>
      <c r="G94" s="20"/>
      <c r="H94" s="10" t="str">
        <f aca="false">IF(B94="","",IFERROR(INDEX(Campaigns!$B$5:$B$24,MATCH(B94,Campaigns!$A$5:$A$24,0)),"ID not found"))</f>
        <v/>
      </c>
      <c r="I94" s="9" t="str">
        <f aca="false">IF(AND(B94&lt;&gt;"",D94&gt;0),E94/D94,"")</f>
        <v/>
      </c>
      <c r="J94" s="9" t="str">
        <f aca="false">IF(AND(B94&lt;&gt;"",F94&gt;0),G94/F94,"")</f>
        <v/>
      </c>
      <c r="K94" s="19" t="str">
        <f aca="false">IF(OR(I94="",J94=""),"",IF(AND(I94&gt;=Settings!$B$6,J94&gt;=Settings!$B$7),"On target","Below target"))</f>
        <v/>
      </c>
      <c r="L94" s="19" t="str">
        <f aca="false">IF(B94="","",IF(OR(E94&gt;D94,G94&gt;F94,D94&lt;0,E94&lt;0,F94&lt;0,G94&lt;0),"Check numbers","OK"))</f>
        <v/>
      </c>
    </row>
    <row r="95" customFormat="false" ht="15" hidden="false" customHeight="false" outlineLevel="0" collapsed="false">
      <c r="A95" s="15"/>
      <c r="B95" s="16"/>
      <c r="C95" s="16"/>
      <c r="D95" s="20"/>
      <c r="E95" s="20"/>
      <c r="F95" s="20"/>
      <c r="G95" s="20"/>
      <c r="H95" s="10" t="str">
        <f aca="false">IF(B95="","",IFERROR(INDEX(Campaigns!$B$5:$B$24,MATCH(B95,Campaigns!$A$5:$A$24,0)),"ID not found"))</f>
        <v/>
      </c>
      <c r="I95" s="9" t="str">
        <f aca="false">IF(AND(B95&lt;&gt;"",D95&gt;0),E95/D95,"")</f>
        <v/>
      </c>
      <c r="J95" s="9" t="str">
        <f aca="false">IF(AND(B95&lt;&gt;"",F95&gt;0),G95/F95,"")</f>
        <v/>
      </c>
      <c r="K95" s="19" t="str">
        <f aca="false">IF(OR(I95="",J95=""),"",IF(AND(I95&gt;=Settings!$B$6,J95&gt;=Settings!$B$7),"On target","Below target"))</f>
        <v/>
      </c>
      <c r="L95" s="19" t="str">
        <f aca="false">IF(B95="","",IF(OR(E95&gt;D95,G95&gt;F95,D95&lt;0,E95&lt;0,F95&lt;0,G95&lt;0),"Check numbers","OK"))</f>
        <v/>
      </c>
    </row>
    <row r="96" customFormat="false" ht="15" hidden="false" customHeight="false" outlineLevel="0" collapsed="false">
      <c r="A96" s="15"/>
      <c r="B96" s="16"/>
      <c r="C96" s="16"/>
      <c r="D96" s="20"/>
      <c r="E96" s="20"/>
      <c r="F96" s="20"/>
      <c r="G96" s="20"/>
      <c r="H96" s="10" t="str">
        <f aca="false">IF(B96="","",IFERROR(INDEX(Campaigns!$B$5:$B$24,MATCH(B96,Campaigns!$A$5:$A$24,0)),"ID not found"))</f>
        <v/>
      </c>
      <c r="I96" s="9" t="str">
        <f aca="false">IF(AND(B96&lt;&gt;"",D96&gt;0),E96/D96,"")</f>
        <v/>
      </c>
      <c r="J96" s="9" t="str">
        <f aca="false">IF(AND(B96&lt;&gt;"",F96&gt;0),G96/F96,"")</f>
        <v/>
      </c>
      <c r="K96" s="19" t="str">
        <f aca="false">IF(OR(I96="",J96=""),"",IF(AND(I96&gt;=Settings!$B$6,J96&gt;=Settings!$B$7),"On target","Below target"))</f>
        <v/>
      </c>
      <c r="L96" s="19" t="str">
        <f aca="false">IF(B96="","",IF(OR(E96&gt;D96,G96&gt;F96,D96&lt;0,E96&lt;0,F96&lt;0,G96&lt;0),"Check numbers","OK"))</f>
        <v/>
      </c>
    </row>
    <row r="97" customFormat="false" ht="15" hidden="false" customHeight="false" outlineLevel="0" collapsed="false">
      <c r="A97" s="15"/>
      <c r="B97" s="16"/>
      <c r="C97" s="16"/>
      <c r="D97" s="20"/>
      <c r="E97" s="20"/>
      <c r="F97" s="20"/>
      <c r="G97" s="20"/>
      <c r="H97" s="10" t="str">
        <f aca="false">IF(B97="","",IFERROR(INDEX(Campaigns!$B$5:$B$24,MATCH(B97,Campaigns!$A$5:$A$24,0)),"ID not found"))</f>
        <v/>
      </c>
      <c r="I97" s="9" t="str">
        <f aca="false">IF(AND(B97&lt;&gt;"",D97&gt;0),E97/D97,"")</f>
        <v/>
      </c>
      <c r="J97" s="9" t="str">
        <f aca="false">IF(AND(B97&lt;&gt;"",F97&gt;0),G97/F97,"")</f>
        <v/>
      </c>
      <c r="K97" s="19" t="str">
        <f aca="false">IF(OR(I97="",J97=""),"",IF(AND(I97&gt;=Settings!$B$6,J97&gt;=Settings!$B$7),"On target","Below target"))</f>
        <v/>
      </c>
      <c r="L97" s="19" t="str">
        <f aca="false">IF(B97="","",IF(OR(E97&gt;D97,G97&gt;F97,D97&lt;0,E97&lt;0,F97&lt;0,G97&lt;0),"Check numbers","OK"))</f>
        <v/>
      </c>
    </row>
    <row r="98" customFormat="false" ht="15" hidden="false" customHeight="false" outlineLevel="0" collapsed="false">
      <c r="A98" s="15"/>
      <c r="B98" s="16"/>
      <c r="C98" s="16"/>
      <c r="D98" s="20"/>
      <c r="E98" s="20"/>
      <c r="F98" s="20"/>
      <c r="G98" s="20"/>
      <c r="H98" s="10" t="str">
        <f aca="false">IF(B98="","",IFERROR(INDEX(Campaigns!$B$5:$B$24,MATCH(B98,Campaigns!$A$5:$A$24,0)),"ID not found"))</f>
        <v/>
      </c>
      <c r="I98" s="9" t="str">
        <f aca="false">IF(AND(B98&lt;&gt;"",D98&gt;0),E98/D98,"")</f>
        <v/>
      </c>
      <c r="J98" s="9" t="str">
        <f aca="false">IF(AND(B98&lt;&gt;"",F98&gt;0),G98/F98,"")</f>
        <v/>
      </c>
      <c r="K98" s="19" t="str">
        <f aca="false">IF(OR(I98="",J98=""),"",IF(AND(I98&gt;=Settings!$B$6,J98&gt;=Settings!$B$7),"On target","Below target"))</f>
        <v/>
      </c>
      <c r="L98" s="19" t="str">
        <f aca="false">IF(B98="","",IF(OR(E98&gt;D98,G98&gt;F98,D98&lt;0,E98&lt;0,F98&lt;0,G98&lt;0),"Check numbers","OK"))</f>
        <v/>
      </c>
    </row>
    <row r="99" customFormat="false" ht="15" hidden="false" customHeight="false" outlineLevel="0" collapsed="false">
      <c r="A99" s="15"/>
      <c r="B99" s="16"/>
      <c r="C99" s="16"/>
      <c r="D99" s="20"/>
      <c r="E99" s="20"/>
      <c r="F99" s="20"/>
      <c r="G99" s="20"/>
      <c r="H99" s="10" t="str">
        <f aca="false">IF(B99="","",IFERROR(INDEX(Campaigns!$B$5:$B$24,MATCH(B99,Campaigns!$A$5:$A$24,0)),"ID not found"))</f>
        <v/>
      </c>
      <c r="I99" s="9" t="str">
        <f aca="false">IF(AND(B99&lt;&gt;"",D99&gt;0),E99/D99,"")</f>
        <v/>
      </c>
      <c r="J99" s="9" t="str">
        <f aca="false">IF(AND(B99&lt;&gt;"",F99&gt;0),G99/F99,"")</f>
        <v/>
      </c>
      <c r="K99" s="19" t="str">
        <f aca="false">IF(OR(I99="",J99=""),"",IF(AND(I99&gt;=Settings!$B$6,J99&gt;=Settings!$B$7),"On target","Below target"))</f>
        <v/>
      </c>
      <c r="L99" s="19" t="str">
        <f aca="false">IF(B99="","",IF(OR(E99&gt;D99,G99&gt;F99,D99&lt;0,E99&lt;0,F99&lt;0,G99&lt;0),"Check numbers","OK"))</f>
        <v/>
      </c>
    </row>
    <row r="100" customFormat="false" ht="15" hidden="false" customHeight="false" outlineLevel="0" collapsed="false">
      <c r="A100" s="15"/>
      <c r="B100" s="16"/>
      <c r="C100" s="16"/>
      <c r="D100" s="20"/>
      <c r="E100" s="20"/>
      <c r="F100" s="20"/>
      <c r="G100" s="20"/>
      <c r="H100" s="10" t="str">
        <f aca="false">IF(B100="","",IFERROR(INDEX(Campaigns!$B$5:$B$24,MATCH(B100,Campaigns!$A$5:$A$24,0)),"ID not found"))</f>
        <v/>
      </c>
      <c r="I100" s="9" t="str">
        <f aca="false">IF(AND(B100&lt;&gt;"",D100&gt;0),E100/D100,"")</f>
        <v/>
      </c>
      <c r="J100" s="9" t="str">
        <f aca="false">IF(AND(B100&lt;&gt;"",F100&gt;0),G100/F100,"")</f>
        <v/>
      </c>
      <c r="K100" s="19" t="str">
        <f aca="false">IF(OR(I100="",J100=""),"",IF(AND(I100&gt;=Settings!$B$6,J100&gt;=Settings!$B$7),"On target","Below target"))</f>
        <v/>
      </c>
      <c r="L100" s="19" t="str">
        <f aca="false">IF(B100="","",IF(OR(E100&gt;D100,G100&gt;F100,D100&lt;0,E100&lt;0,F100&lt;0,G100&lt;0),"Check numbers","OK"))</f>
        <v/>
      </c>
    </row>
    <row r="101" customFormat="false" ht="15" hidden="false" customHeight="false" outlineLevel="0" collapsed="false">
      <c r="A101" s="15"/>
      <c r="B101" s="16"/>
      <c r="C101" s="16"/>
      <c r="D101" s="20"/>
      <c r="E101" s="20"/>
      <c r="F101" s="20"/>
      <c r="G101" s="20"/>
      <c r="H101" s="10" t="str">
        <f aca="false">IF(B101="","",IFERROR(INDEX(Campaigns!$B$5:$B$24,MATCH(B101,Campaigns!$A$5:$A$24,0)),"ID not found"))</f>
        <v/>
      </c>
      <c r="I101" s="9" t="str">
        <f aca="false">IF(AND(B101&lt;&gt;"",D101&gt;0),E101/D101,"")</f>
        <v/>
      </c>
      <c r="J101" s="9" t="str">
        <f aca="false">IF(AND(B101&lt;&gt;"",F101&gt;0),G101/F101,"")</f>
        <v/>
      </c>
      <c r="K101" s="19" t="str">
        <f aca="false">IF(OR(I101="",J101=""),"",IF(AND(I101&gt;=Settings!$B$6,J101&gt;=Settings!$B$7),"On target","Below target"))</f>
        <v/>
      </c>
      <c r="L101" s="19" t="str">
        <f aca="false">IF(B101="","",IF(OR(E101&gt;D101,G101&gt;F101,D101&lt;0,E101&lt;0,F101&lt;0,G101&lt;0),"Check numbers","OK"))</f>
        <v/>
      </c>
    </row>
    <row r="102" customFormat="false" ht="15" hidden="false" customHeight="false" outlineLevel="0" collapsed="false">
      <c r="A102" s="15"/>
      <c r="B102" s="16"/>
      <c r="C102" s="16"/>
      <c r="D102" s="20"/>
      <c r="E102" s="20"/>
      <c r="F102" s="20"/>
      <c r="G102" s="20"/>
      <c r="H102" s="10" t="str">
        <f aca="false">IF(B102="","",IFERROR(INDEX(Campaigns!$B$5:$B$24,MATCH(B102,Campaigns!$A$5:$A$24,0)),"ID not found"))</f>
        <v/>
      </c>
      <c r="I102" s="9" t="str">
        <f aca="false">IF(AND(B102&lt;&gt;"",D102&gt;0),E102/D102,"")</f>
        <v/>
      </c>
      <c r="J102" s="9" t="str">
        <f aca="false">IF(AND(B102&lt;&gt;"",F102&gt;0),G102/F102,"")</f>
        <v/>
      </c>
      <c r="K102" s="19" t="str">
        <f aca="false">IF(OR(I102="",J102=""),"",IF(AND(I102&gt;=Settings!$B$6,J102&gt;=Settings!$B$7),"On target","Below target"))</f>
        <v/>
      </c>
      <c r="L102" s="19" t="str">
        <f aca="false">IF(B102="","",IF(OR(E102&gt;D102,G102&gt;F102,D102&lt;0,E102&lt;0,F102&lt;0,G102&lt;0),"Check numbers","OK"))</f>
        <v/>
      </c>
    </row>
    <row r="103" customFormat="false" ht="15" hidden="false" customHeight="false" outlineLevel="0" collapsed="false">
      <c r="A103" s="15"/>
      <c r="B103" s="16"/>
      <c r="C103" s="16"/>
      <c r="D103" s="20"/>
      <c r="E103" s="20"/>
      <c r="F103" s="20"/>
      <c r="G103" s="20"/>
      <c r="H103" s="10" t="str">
        <f aca="false">IF(B103="","",IFERROR(INDEX(Campaigns!$B$5:$B$24,MATCH(B103,Campaigns!$A$5:$A$24,0)),"ID not found"))</f>
        <v/>
      </c>
      <c r="I103" s="9" t="str">
        <f aca="false">IF(AND(B103&lt;&gt;"",D103&gt;0),E103/D103,"")</f>
        <v/>
      </c>
      <c r="J103" s="9" t="str">
        <f aca="false">IF(AND(B103&lt;&gt;"",F103&gt;0),G103/F103,"")</f>
        <v/>
      </c>
      <c r="K103" s="19" t="str">
        <f aca="false">IF(OR(I103="",J103=""),"",IF(AND(I103&gt;=Settings!$B$6,J103&gt;=Settings!$B$7),"On target","Below target"))</f>
        <v/>
      </c>
      <c r="L103" s="19" t="str">
        <f aca="false">IF(B103="","",IF(OR(E103&gt;D103,G103&gt;F103,D103&lt;0,E103&lt;0,F103&lt;0,G103&lt;0),"Check numbers","OK"))</f>
        <v/>
      </c>
    </row>
    <row r="104" customFormat="false" ht="15" hidden="false" customHeight="false" outlineLevel="0" collapsed="false">
      <c r="A104" s="15"/>
      <c r="B104" s="16"/>
      <c r="C104" s="16"/>
      <c r="D104" s="20"/>
      <c r="E104" s="20"/>
      <c r="F104" s="20"/>
      <c r="G104" s="20"/>
      <c r="H104" s="10" t="str">
        <f aca="false">IF(B104="","",IFERROR(INDEX(Campaigns!$B$5:$B$24,MATCH(B104,Campaigns!$A$5:$A$24,0)),"ID not found"))</f>
        <v/>
      </c>
      <c r="I104" s="9" t="str">
        <f aca="false">IF(AND(B104&lt;&gt;"",D104&gt;0),E104/D104,"")</f>
        <v/>
      </c>
      <c r="J104" s="9" t="str">
        <f aca="false">IF(AND(B104&lt;&gt;"",F104&gt;0),G104/F104,"")</f>
        <v/>
      </c>
      <c r="K104" s="19" t="str">
        <f aca="false">IF(OR(I104="",J104=""),"",IF(AND(I104&gt;=Settings!$B$6,J104&gt;=Settings!$B$7),"On target","Below target"))</f>
        <v/>
      </c>
      <c r="L104" s="19" t="str">
        <f aca="false">IF(B104="","",IF(OR(E104&gt;D104,G104&gt;F104,D104&lt;0,E104&lt;0,F104&lt;0,G104&lt;0),"Check numbers","OK"))</f>
        <v/>
      </c>
    </row>
    <row r="105" customFormat="false" ht="15" hidden="false" customHeight="false" outlineLevel="0" collapsed="false">
      <c r="A105" s="15"/>
      <c r="B105" s="16"/>
      <c r="C105" s="16"/>
      <c r="D105" s="20"/>
      <c r="E105" s="20"/>
      <c r="F105" s="20"/>
      <c r="G105" s="20"/>
      <c r="H105" s="10" t="str">
        <f aca="false">IF(B105="","",IFERROR(INDEX(Campaigns!$B$5:$B$24,MATCH(B105,Campaigns!$A$5:$A$24,0)),"ID not found"))</f>
        <v/>
      </c>
      <c r="I105" s="9" t="str">
        <f aca="false">IF(AND(B105&lt;&gt;"",D105&gt;0),E105/D105,"")</f>
        <v/>
      </c>
      <c r="J105" s="9" t="str">
        <f aca="false">IF(AND(B105&lt;&gt;"",F105&gt;0),G105/F105,"")</f>
        <v/>
      </c>
      <c r="K105" s="19" t="str">
        <f aca="false">IF(OR(I105="",J105=""),"",IF(AND(I105&gt;=Settings!$B$6,J105&gt;=Settings!$B$7),"On target","Below target"))</f>
        <v/>
      </c>
      <c r="L105" s="19" t="str">
        <f aca="false">IF(B105="","",IF(OR(E105&gt;D105,G105&gt;F105,D105&lt;0,E105&lt;0,F105&lt;0,G105&lt;0),"Check numbers","OK"))</f>
        <v/>
      </c>
    </row>
    <row r="106" customFormat="false" ht="15" hidden="false" customHeight="false" outlineLevel="0" collapsed="false">
      <c r="A106" s="15"/>
      <c r="B106" s="16"/>
      <c r="C106" s="16"/>
      <c r="D106" s="20"/>
      <c r="E106" s="20"/>
      <c r="F106" s="20"/>
      <c r="G106" s="20"/>
      <c r="H106" s="10" t="str">
        <f aca="false">IF(B106="","",IFERROR(INDEX(Campaigns!$B$5:$B$24,MATCH(B106,Campaigns!$A$5:$A$24,0)),"ID not found"))</f>
        <v/>
      </c>
      <c r="I106" s="9" t="str">
        <f aca="false">IF(AND(B106&lt;&gt;"",D106&gt;0),E106/D106,"")</f>
        <v/>
      </c>
      <c r="J106" s="9" t="str">
        <f aca="false">IF(AND(B106&lt;&gt;"",F106&gt;0),G106/F106,"")</f>
        <v/>
      </c>
      <c r="K106" s="19" t="str">
        <f aca="false">IF(OR(I106="",J106=""),"",IF(AND(I106&gt;=Settings!$B$6,J106&gt;=Settings!$B$7),"On target","Below target"))</f>
        <v/>
      </c>
      <c r="L106" s="19" t="str">
        <f aca="false">IF(B106="","",IF(OR(E106&gt;D106,G106&gt;F106,D106&lt;0,E106&lt;0,F106&lt;0,G106&lt;0),"Check numbers","OK"))</f>
        <v/>
      </c>
    </row>
    <row r="107" customFormat="false" ht="15" hidden="false" customHeight="false" outlineLevel="0" collapsed="false">
      <c r="A107" s="15"/>
      <c r="B107" s="16"/>
      <c r="C107" s="16"/>
      <c r="D107" s="20"/>
      <c r="E107" s="20"/>
      <c r="F107" s="20"/>
      <c r="G107" s="20"/>
      <c r="H107" s="10" t="str">
        <f aca="false">IF(B107="","",IFERROR(INDEX(Campaigns!$B$5:$B$24,MATCH(B107,Campaigns!$A$5:$A$24,0)),"ID not found"))</f>
        <v/>
      </c>
      <c r="I107" s="9" t="str">
        <f aca="false">IF(AND(B107&lt;&gt;"",D107&gt;0),E107/D107,"")</f>
        <v/>
      </c>
      <c r="J107" s="9" t="str">
        <f aca="false">IF(AND(B107&lt;&gt;"",F107&gt;0),G107/F107,"")</f>
        <v/>
      </c>
      <c r="K107" s="19" t="str">
        <f aca="false">IF(OR(I107="",J107=""),"",IF(AND(I107&gt;=Settings!$B$6,J107&gt;=Settings!$B$7),"On target","Below target"))</f>
        <v/>
      </c>
      <c r="L107" s="19" t="str">
        <f aca="false">IF(B107="","",IF(OR(E107&gt;D107,G107&gt;F107,D107&lt;0,E107&lt;0,F107&lt;0,G107&lt;0),"Check numbers","OK"))</f>
        <v/>
      </c>
    </row>
    <row r="108" customFormat="false" ht="15" hidden="false" customHeight="false" outlineLevel="0" collapsed="false">
      <c r="A108" s="15"/>
      <c r="B108" s="16"/>
      <c r="C108" s="16"/>
      <c r="D108" s="20"/>
      <c r="E108" s="20"/>
      <c r="F108" s="20"/>
      <c r="G108" s="20"/>
      <c r="H108" s="10" t="str">
        <f aca="false">IF(B108="","",IFERROR(INDEX(Campaigns!$B$5:$B$24,MATCH(B108,Campaigns!$A$5:$A$24,0)),"ID not found"))</f>
        <v/>
      </c>
      <c r="I108" s="9" t="str">
        <f aca="false">IF(AND(B108&lt;&gt;"",D108&gt;0),E108/D108,"")</f>
        <v/>
      </c>
      <c r="J108" s="9" t="str">
        <f aca="false">IF(AND(B108&lt;&gt;"",F108&gt;0),G108/F108,"")</f>
        <v/>
      </c>
      <c r="K108" s="19" t="str">
        <f aca="false">IF(OR(I108="",J108=""),"",IF(AND(I108&gt;=Settings!$B$6,J108&gt;=Settings!$B$7),"On target","Below target"))</f>
        <v/>
      </c>
      <c r="L108" s="19" t="str">
        <f aca="false">IF(B108="","",IF(OR(E108&gt;D108,G108&gt;F108,D108&lt;0,E108&lt;0,F108&lt;0,G108&lt;0),"Check numbers","OK"))</f>
        <v/>
      </c>
    </row>
    <row r="109" customFormat="false" ht="15" hidden="false" customHeight="false" outlineLevel="0" collapsed="false">
      <c r="A109" s="15"/>
      <c r="B109" s="16"/>
      <c r="C109" s="16"/>
      <c r="D109" s="20"/>
      <c r="E109" s="20"/>
      <c r="F109" s="20"/>
      <c r="G109" s="20"/>
      <c r="H109" s="10" t="str">
        <f aca="false">IF(B109="","",IFERROR(INDEX(Campaigns!$B$5:$B$24,MATCH(B109,Campaigns!$A$5:$A$24,0)),"ID not found"))</f>
        <v/>
      </c>
      <c r="I109" s="9" t="str">
        <f aca="false">IF(AND(B109&lt;&gt;"",D109&gt;0),E109/D109,"")</f>
        <v/>
      </c>
      <c r="J109" s="9" t="str">
        <f aca="false">IF(AND(B109&lt;&gt;"",F109&gt;0),G109/F109,"")</f>
        <v/>
      </c>
      <c r="K109" s="19" t="str">
        <f aca="false">IF(OR(I109="",J109=""),"",IF(AND(I109&gt;=Settings!$B$6,J109&gt;=Settings!$B$7),"On target","Below target"))</f>
        <v/>
      </c>
      <c r="L109" s="19" t="str">
        <f aca="false">IF(B109="","",IF(OR(E109&gt;D109,G109&gt;F109,D109&lt;0,E109&lt;0,F109&lt;0,G109&lt;0),"Check numbers","OK"))</f>
        <v/>
      </c>
    </row>
    <row r="110" customFormat="false" ht="15" hidden="false" customHeight="false" outlineLevel="0" collapsed="false">
      <c r="A110" s="15"/>
      <c r="B110" s="16"/>
      <c r="C110" s="16"/>
      <c r="D110" s="20"/>
      <c r="E110" s="20"/>
      <c r="F110" s="20"/>
      <c r="G110" s="20"/>
      <c r="H110" s="10" t="str">
        <f aca="false">IF(B110="","",IFERROR(INDEX(Campaigns!$B$5:$B$24,MATCH(B110,Campaigns!$A$5:$A$24,0)),"ID not found"))</f>
        <v/>
      </c>
      <c r="I110" s="9" t="str">
        <f aca="false">IF(AND(B110&lt;&gt;"",D110&gt;0),E110/D110,"")</f>
        <v/>
      </c>
      <c r="J110" s="9" t="str">
        <f aca="false">IF(AND(B110&lt;&gt;"",F110&gt;0),G110/F110,"")</f>
        <v/>
      </c>
      <c r="K110" s="19" t="str">
        <f aca="false">IF(OR(I110="",J110=""),"",IF(AND(I110&gt;=Settings!$B$6,J110&gt;=Settings!$B$7),"On target","Below target"))</f>
        <v/>
      </c>
      <c r="L110" s="19" t="str">
        <f aca="false">IF(B110="","",IF(OR(E110&gt;D110,G110&gt;F110,D110&lt;0,E110&lt;0,F110&lt;0,G110&lt;0),"Check numbers","OK"))</f>
        <v/>
      </c>
    </row>
    <row r="111" customFormat="false" ht="15" hidden="false" customHeight="false" outlineLevel="0" collapsed="false">
      <c r="A111" s="15"/>
      <c r="B111" s="16"/>
      <c r="C111" s="16"/>
      <c r="D111" s="20"/>
      <c r="E111" s="20"/>
      <c r="F111" s="20"/>
      <c r="G111" s="20"/>
      <c r="H111" s="10" t="str">
        <f aca="false">IF(B111="","",IFERROR(INDEX(Campaigns!$B$5:$B$24,MATCH(B111,Campaigns!$A$5:$A$24,0)),"ID not found"))</f>
        <v/>
      </c>
      <c r="I111" s="9" t="str">
        <f aca="false">IF(AND(B111&lt;&gt;"",D111&gt;0),E111/D111,"")</f>
        <v/>
      </c>
      <c r="J111" s="9" t="str">
        <f aca="false">IF(AND(B111&lt;&gt;"",F111&gt;0),G111/F111,"")</f>
        <v/>
      </c>
      <c r="K111" s="19" t="str">
        <f aca="false">IF(OR(I111="",J111=""),"",IF(AND(I111&gt;=Settings!$B$6,J111&gt;=Settings!$B$7),"On target","Below target"))</f>
        <v/>
      </c>
      <c r="L111" s="19" t="str">
        <f aca="false">IF(B111="","",IF(OR(E111&gt;D111,G111&gt;F111,D111&lt;0,E111&lt;0,F111&lt;0,G111&lt;0),"Check numbers","OK"))</f>
        <v/>
      </c>
    </row>
    <row r="112" customFormat="false" ht="15" hidden="false" customHeight="false" outlineLevel="0" collapsed="false">
      <c r="A112" s="15"/>
      <c r="B112" s="16"/>
      <c r="C112" s="16"/>
      <c r="D112" s="20"/>
      <c r="E112" s="20"/>
      <c r="F112" s="20"/>
      <c r="G112" s="20"/>
      <c r="H112" s="10" t="str">
        <f aca="false">IF(B112="","",IFERROR(INDEX(Campaigns!$B$5:$B$24,MATCH(B112,Campaigns!$A$5:$A$24,0)),"ID not found"))</f>
        <v/>
      </c>
      <c r="I112" s="9" t="str">
        <f aca="false">IF(AND(B112&lt;&gt;"",D112&gt;0),E112/D112,"")</f>
        <v/>
      </c>
      <c r="J112" s="9" t="str">
        <f aca="false">IF(AND(B112&lt;&gt;"",F112&gt;0),G112/F112,"")</f>
        <v/>
      </c>
      <c r="K112" s="19" t="str">
        <f aca="false">IF(OR(I112="",J112=""),"",IF(AND(I112&gt;=Settings!$B$6,J112&gt;=Settings!$B$7),"On target","Below target"))</f>
        <v/>
      </c>
      <c r="L112" s="19" t="str">
        <f aca="false">IF(B112="","",IF(OR(E112&gt;D112,G112&gt;F112,D112&lt;0,E112&lt;0,F112&lt;0,G112&lt;0),"Check numbers","OK"))</f>
        <v/>
      </c>
    </row>
    <row r="113" customFormat="false" ht="15" hidden="false" customHeight="false" outlineLevel="0" collapsed="false">
      <c r="A113" s="15"/>
      <c r="B113" s="16"/>
      <c r="C113" s="16"/>
      <c r="D113" s="20"/>
      <c r="E113" s="20"/>
      <c r="F113" s="20"/>
      <c r="G113" s="20"/>
      <c r="H113" s="10" t="str">
        <f aca="false">IF(B113="","",IFERROR(INDEX(Campaigns!$B$5:$B$24,MATCH(B113,Campaigns!$A$5:$A$24,0)),"ID not found"))</f>
        <v/>
      </c>
      <c r="I113" s="9" t="str">
        <f aca="false">IF(AND(B113&lt;&gt;"",D113&gt;0),E113/D113,"")</f>
        <v/>
      </c>
      <c r="J113" s="9" t="str">
        <f aca="false">IF(AND(B113&lt;&gt;"",F113&gt;0),G113/F113,"")</f>
        <v/>
      </c>
      <c r="K113" s="19" t="str">
        <f aca="false">IF(OR(I113="",J113=""),"",IF(AND(I113&gt;=Settings!$B$6,J113&gt;=Settings!$B$7),"On target","Below target"))</f>
        <v/>
      </c>
      <c r="L113" s="19" t="str">
        <f aca="false">IF(B113="","",IF(OR(E113&gt;D113,G113&gt;F113,D113&lt;0,E113&lt;0,F113&lt;0,G113&lt;0),"Check numbers","OK"))</f>
        <v/>
      </c>
    </row>
    <row r="114" customFormat="false" ht="15" hidden="false" customHeight="false" outlineLevel="0" collapsed="false">
      <c r="A114" s="15"/>
      <c r="B114" s="16"/>
      <c r="C114" s="16"/>
      <c r="D114" s="20"/>
      <c r="E114" s="20"/>
      <c r="F114" s="20"/>
      <c r="G114" s="20"/>
      <c r="H114" s="10" t="str">
        <f aca="false">IF(B114="","",IFERROR(INDEX(Campaigns!$B$5:$B$24,MATCH(B114,Campaigns!$A$5:$A$24,0)),"ID not found"))</f>
        <v/>
      </c>
      <c r="I114" s="9" t="str">
        <f aca="false">IF(AND(B114&lt;&gt;"",D114&gt;0),E114/D114,"")</f>
        <v/>
      </c>
      <c r="J114" s="9" t="str">
        <f aca="false">IF(AND(B114&lt;&gt;"",F114&gt;0),G114/F114,"")</f>
        <v/>
      </c>
      <c r="K114" s="19" t="str">
        <f aca="false">IF(OR(I114="",J114=""),"",IF(AND(I114&gt;=Settings!$B$6,J114&gt;=Settings!$B$7),"On target","Below target"))</f>
        <v/>
      </c>
      <c r="L114" s="19" t="str">
        <f aca="false">IF(B114="","",IF(OR(E114&gt;D114,G114&gt;F114,D114&lt;0,E114&lt;0,F114&lt;0,G114&lt;0),"Check numbers","OK"))</f>
        <v/>
      </c>
    </row>
    <row r="115" customFormat="false" ht="15" hidden="false" customHeight="false" outlineLevel="0" collapsed="false">
      <c r="A115" s="15"/>
      <c r="B115" s="16"/>
      <c r="C115" s="16"/>
      <c r="D115" s="20"/>
      <c r="E115" s="20"/>
      <c r="F115" s="20"/>
      <c r="G115" s="20"/>
      <c r="H115" s="10" t="str">
        <f aca="false">IF(B115="","",IFERROR(INDEX(Campaigns!$B$5:$B$24,MATCH(B115,Campaigns!$A$5:$A$24,0)),"ID not found"))</f>
        <v/>
      </c>
      <c r="I115" s="9" t="str">
        <f aca="false">IF(AND(B115&lt;&gt;"",D115&gt;0),E115/D115,"")</f>
        <v/>
      </c>
      <c r="J115" s="9" t="str">
        <f aca="false">IF(AND(B115&lt;&gt;"",F115&gt;0),G115/F115,"")</f>
        <v/>
      </c>
      <c r="K115" s="19" t="str">
        <f aca="false">IF(OR(I115="",J115=""),"",IF(AND(I115&gt;=Settings!$B$6,J115&gt;=Settings!$B$7),"On target","Below target"))</f>
        <v/>
      </c>
      <c r="L115" s="19" t="str">
        <f aca="false">IF(B115="","",IF(OR(E115&gt;D115,G115&gt;F115,D115&lt;0,E115&lt;0,F115&lt;0,G115&lt;0),"Check numbers","OK"))</f>
        <v/>
      </c>
    </row>
    <row r="116" customFormat="false" ht="15" hidden="false" customHeight="false" outlineLevel="0" collapsed="false">
      <c r="A116" s="15"/>
      <c r="B116" s="16"/>
      <c r="C116" s="16"/>
      <c r="D116" s="20"/>
      <c r="E116" s="20"/>
      <c r="F116" s="20"/>
      <c r="G116" s="20"/>
      <c r="H116" s="10" t="str">
        <f aca="false">IF(B116="","",IFERROR(INDEX(Campaigns!$B$5:$B$24,MATCH(B116,Campaigns!$A$5:$A$24,0)),"ID not found"))</f>
        <v/>
      </c>
      <c r="I116" s="9" t="str">
        <f aca="false">IF(AND(B116&lt;&gt;"",D116&gt;0),E116/D116,"")</f>
        <v/>
      </c>
      <c r="J116" s="9" t="str">
        <f aca="false">IF(AND(B116&lt;&gt;"",F116&gt;0),G116/F116,"")</f>
        <v/>
      </c>
      <c r="K116" s="19" t="str">
        <f aca="false">IF(OR(I116="",J116=""),"",IF(AND(I116&gt;=Settings!$B$6,J116&gt;=Settings!$B$7),"On target","Below target"))</f>
        <v/>
      </c>
      <c r="L116" s="19" t="str">
        <f aca="false">IF(B116="","",IF(OR(E116&gt;D116,G116&gt;F116,D116&lt;0,E116&lt;0,F116&lt;0,G116&lt;0),"Check numbers","OK"))</f>
        <v/>
      </c>
    </row>
    <row r="117" customFormat="false" ht="15" hidden="false" customHeight="false" outlineLevel="0" collapsed="false">
      <c r="A117" s="15"/>
      <c r="B117" s="16"/>
      <c r="C117" s="16"/>
      <c r="D117" s="20"/>
      <c r="E117" s="20"/>
      <c r="F117" s="20"/>
      <c r="G117" s="20"/>
      <c r="H117" s="10" t="str">
        <f aca="false">IF(B117="","",IFERROR(INDEX(Campaigns!$B$5:$B$24,MATCH(B117,Campaigns!$A$5:$A$24,0)),"ID not found"))</f>
        <v/>
      </c>
      <c r="I117" s="9" t="str">
        <f aca="false">IF(AND(B117&lt;&gt;"",D117&gt;0),E117/D117,"")</f>
        <v/>
      </c>
      <c r="J117" s="9" t="str">
        <f aca="false">IF(AND(B117&lt;&gt;"",F117&gt;0),G117/F117,"")</f>
        <v/>
      </c>
      <c r="K117" s="19" t="str">
        <f aca="false">IF(OR(I117="",J117=""),"",IF(AND(I117&gt;=Settings!$B$6,J117&gt;=Settings!$B$7),"On target","Below target"))</f>
        <v/>
      </c>
      <c r="L117" s="19" t="str">
        <f aca="false">IF(B117="","",IF(OR(E117&gt;D117,G117&gt;F117,D117&lt;0,E117&lt;0,F117&lt;0,G117&lt;0),"Check numbers","OK"))</f>
        <v/>
      </c>
    </row>
    <row r="118" customFormat="false" ht="15" hidden="false" customHeight="false" outlineLevel="0" collapsed="false">
      <c r="A118" s="15"/>
      <c r="B118" s="16"/>
      <c r="C118" s="16"/>
      <c r="D118" s="20"/>
      <c r="E118" s="20"/>
      <c r="F118" s="20"/>
      <c r="G118" s="20"/>
      <c r="H118" s="10" t="str">
        <f aca="false">IF(B118="","",IFERROR(INDEX(Campaigns!$B$5:$B$24,MATCH(B118,Campaigns!$A$5:$A$24,0)),"ID not found"))</f>
        <v/>
      </c>
      <c r="I118" s="9" t="str">
        <f aca="false">IF(AND(B118&lt;&gt;"",D118&gt;0),E118/D118,"")</f>
        <v/>
      </c>
      <c r="J118" s="9" t="str">
        <f aca="false">IF(AND(B118&lt;&gt;"",F118&gt;0),G118/F118,"")</f>
        <v/>
      </c>
      <c r="K118" s="19" t="str">
        <f aca="false">IF(OR(I118="",J118=""),"",IF(AND(I118&gt;=Settings!$B$6,J118&gt;=Settings!$B$7),"On target","Below target"))</f>
        <v/>
      </c>
      <c r="L118" s="19" t="str">
        <f aca="false">IF(B118="","",IF(OR(E118&gt;D118,G118&gt;F118,D118&lt;0,E118&lt;0,F118&lt;0,G118&lt;0),"Check numbers","OK"))</f>
        <v/>
      </c>
    </row>
    <row r="119" customFormat="false" ht="15" hidden="false" customHeight="false" outlineLevel="0" collapsed="false">
      <c r="A119" s="15"/>
      <c r="B119" s="16"/>
      <c r="C119" s="16"/>
      <c r="D119" s="20"/>
      <c r="E119" s="20"/>
      <c r="F119" s="20"/>
      <c r="G119" s="20"/>
      <c r="H119" s="10" t="str">
        <f aca="false">IF(B119="","",IFERROR(INDEX(Campaigns!$B$5:$B$24,MATCH(B119,Campaigns!$A$5:$A$24,0)),"ID not found"))</f>
        <v/>
      </c>
      <c r="I119" s="9" t="str">
        <f aca="false">IF(AND(B119&lt;&gt;"",D119&gt;0),E119/D119,"")</f>
        <v/>
      </c>
      <c r="J119" s="9" t="str">
        <f aca="false">IF(AND(B119&lt;&gt;"",F119&gt;0),G119/F119,"")</f>
        <v/>
      </c>
      <c r="K119" s="19" t="str">
        <f aca="false">IF(OR(I119="",J119=""),"",IF(AND(I119&gt;=Settings!$B$6,J119&gt;=Settings!$B$7),"On target","Below target"))</f>
        <v/>
      </c>
      <c r="L119" s="19" t="str">
        <f aca="false">IF(B119="","",IF(OR(E119&gt;D119,G119&gt;F119,D119&lt;0,E119&lt;0,F119&lt;0,G119&lt;0),"Check numbers","OK"))</f>
        <v/>
      </c>
    </row>
    <row r="120" customFormat="false" ht="15" hidden="false" customHeight="false" outlineLevel="0" collapsed="false">
      <c r="A120" s="15"/>
      <c r="B120" s="16"/>
      <c r="C120" s="16"/>
      <c r="D120" s="20"/>
      <c r="E120" s="20"/>
      <c r="F120" s="20"/>
      <c r="G120" s="20"/>
      <c r="H120" s="10" t="str">
        <f aca="false">IF(B120="","",IFERROR(INDEX(Campaigns!$B$5:$B$24,MATCH(B120,Campaigns!$A$5:$A$24,0)),"ID not found"))</f>
        <v/>
      </c>
      <c r="I120" s="9" t="str">
        <f aca="false">IF(AND(B120&lt;&gt;"",D120&gt;0),E120/D120,"")</f>
        <v/>
      </c>
      <c r="J120" s="9" t="str">
        <f aca="false">IF(AND(B120&lt;&gt;"",F120&gt;0),G120/F120,"")</f>
        <v/>
      </c>
      <c r="K120" s="19" t="str">
        <f aca="false">IF(OR(I120="",J120=""),"",IF(AND(I120&gt;=Settings!$B$6,J120&gt;=Settings!$B$7),"On target","Below target"))</f>
        <v/>
      </c>
      <c r="L120" s="19" t="str">
        <f aca="false">IF(B120="","",IF(OR(E120&gt;D120,G120&gt;F120,D120&lt;0,E120&lt;0,F120&lt;0,G120&lt;0),"Check numbers","OK"))</f>
        <v/>
      </c>
    </row>
    <row r="121" customFormat="false" ht="15" hidden="false" customHeight="false" outlineLevel="0" collapsed="false">
      <c r="A121" s="15"/>
      <c r="B121" s="16"/>
      <c r="C121" s="16"/>
      <c r="D121" s="20"/>
      <c r="E121" s="20"/>
      <c r="F121" s="20"/>
      <c r="G121" s="20"/>
      <c r="H121" s="10" t="str">
        <f aca="false">IF(B121="","",IFERROR(INDEX(Campaigns!$B$5:$B$24,MATCH(B121,Campaigns!$A$5:$A$24,0)),"ID not found"))</f>
        <v/>
      </c>
      <c r="I121" s="9" t="str">
        <f aca="false">IF(AND(B121&lt;&gt;"",D121&gt;0),E121/D121,"")</f>
        <v/>
      </c>
      <c r="J121" s="9" t="str">
        <f aca="false">IF(AND(B121&lt;&gt;"",F121&gt;0),G121/F121,"")</f>
        <v/>
      </c>
      <c r="K121" s="19" t="str">
        <f aca="false">IF(OR(I121="",J121=""),"",IF(AND(I121&gt;=Settings!$B$6,J121&gt;=Settings!$B$7),"On target","Below target"))</f>
        <v/>
      </c>
      <c r="L121" s="19" t="str">
        <f aca="false">IF(B121="","",IF(OR(E121&gt;D121,G121&gt;F121,D121&lt;0,E121&lt;0,F121&lt;0,G121&lt;0),"Check numbers","OK"))</f>
        <v/>
      </c>
    </row>
    <row r="122" customFormat="false" ht="15" hidden="false" customHeight="false" outlineLevel="0" collapsed="false">
      <c r="A122" s="15"/>
      <c r="B122" s="16"/>
      <c r="C122" s="16"/>
      <c r="D122" s="20"/>
      <c r="E122" s="20"/>
      <c r="F122" s="20"/>
      <c r="G122" s="20"/>
      <c r="H122" s="10" t="str">
        <f aca="false">IF(B122="","",IFERROR(INDEX(Campaigns!$B$5:$B$24,MATCH(B122,Campaigns!$A$5:$A$24,0)),"ID not found"))</f>
        <v/>
      </c>
      <c r="I122" s="9" t="str">
        <f aca="false">IF(AND(B122&lt;&gt;"",D122&gt;0),E122/D122,"")</f>
        <v/>
      </c>
      <c r="J122" s="9" t="str">
        <f aca="false">IF(AND(B122&lt;&gt;"",F122&gt;0),G122/F122,"")</f>
        <v/>
      </c>
      <c r="K122" s="19" t="str">
        <f aca="false">IF(OR(I122="",J122=""),"",IF(AND(I122&gt;=Settings!$B$6,J122&gt;=Settings!$B$7),"On target","Below target"))</f>
        <v/>
      </c>
      <c r="L122" s="19" t="str">
        <f aca="false">IF(B122="","",IF(OR(E122&gt;D122,G122&gt;F122,D122&lt;0,E122&lt;0,F122&lt;0,G122&lt;0),"Check numbers","OK"))</f>
        <v/>
      </c>
    </row>
    <row r="123" customFormat="false" ht="15" hidden="false" customHeight="false" outlineLevel="0" collapsed="false">
      <c r="A123" s="15"/>
      <c r="B123" s="16"/>
      <c r="C123" s="16"/>
      <c r="D123" s="20"/>
      <c r="E123" s="20"/>
      <c r="F123" s="20"/>
      <c r="G123" s="20"/>
      <c r="H123" s="10" t="str">
        <f aca="false">IF(B123="","",IFERROR(INDEX(Campaigns!$B$5:$B$24,MATCH(B123,Campaigns!$A$5:$A$24,0)),"ID not found"))</f>
        <v/>
      </c>
      <c r="I123" s="9" t="str">
        <f aca="false">IF(AND(B123&lt;&gt;"",D123&gt;0),E123/D123,"")</f>
        <v/>
      </c>
      <c r="J123" s="9" t="str">
        <f aca="false">IF(AND(B123&lt;&gt;"",F123&gt;0),G123/F123,"")</f>
        <v/>
      </c>
      <c r="K123" s="19" t="str">
        <f aca="false">IF(OR(I123="",J123=""),"",IF(AND(I123&gt;=Settings!$B$6,J123&gt;=Settings!$B$7),"On target","Below target"))</f>
        <v/>
      </c>
      <c r="L123" s="19" t="str">
        <f aca="false">IF(B123="","",IF(OR(E123&gt;D123,G123&gt;F123,D123&lt;0,E123&lt;0,F123&lt;0,G123&lt;0),"Check numbers","OK"))</f>
        <v/>
      </c>
    </row>
    <row r="124" customFormat="false" ht="15" hidden="false" customHeight="false" outlineLevel="0" collapsed="false">
      <c r="A124" s="15"/>
      <c r="B124" s="16"/>
      <c r="C124" s="16"/>
      <c r="D124" s="20"/>
      <c r="E124" s="20"/>
      <c r="F124" s="20"/>
      <c r="G124" s="20"/>
      <c r="H124" s="10" t="str">
        <f aca="false">IF(B124="","",IFERROR(INDEX(Campaigns!$B$5:$B$24,MATCH(B124,Campaigns!$A$5:$A$24,0)),"ID not found"))</f>
        <v/>
      </c>
      <c r="I124" s="9" t="str">
        <f aca="false">IF(AND(B124&lt;&gt;"",D124&gt;0),E124/D124,"")</f>
        <v/>
      </c>
      <c r="J124" s="9" t="str">
        <f aca="false">IF(AND(B124&lt;&gt;"",F124&gt;0),G124/F124,"")</f>
        <v/>
      </c>
      <c r="K124" s="19" t="str">
        <f aca="false">IF(OR(I124="",J124=""),"",IF(AND(I124&gt;=Settings!$B$6,J124&gt;=Settings!$B$7),"On target","Below target"))</f>
        <v/>
      </c>
      <c r="L124" s="19" t="str">
        <f aca="false">IF(B124="","",IF(OR(E124&gt;D124,G124&gt;F124,D124&lt;0,E124&lt;0,F124&lt;0,G124&lt;0),"Check numbers","OK"))</f>
        <v/>
      </c>
    </row>
    <row r="125" customFormat="false" ht="15" hidden="false" customHeight="false" outlineLevel="0" collapsed="false">
      <c r="A125" s="15"/>
      <c r="B125" s="16"/>
      <c r="C125" s="16"/>
      <c r="D125" s="20"/>
      <c r="E125" s="20"/>
      <c r="F125" s="20"/>
      <c r="G125" s="20"/>
      <c r="H125" s="10" t="str">
        <f aca="false">IF(B125="","",IFERROR(INDEX(Campaigns!$B$5:$B$24,MATCH(B125,Campaigns!$A$5:$A$24,0)),"ID not found"))</f>
        <v/>
      </c>
      <c r="I125" s="9" t="str">
        <f aca="false">IF(AND(B125&lt;&gt;"",D125&gt;0),E125/D125,"")</f>
        <v/>
      </c>
      <c r="J125" s="9" t="str">
        <f aca="false">IF(AND(B125&lt;&gt;"",F125&gt;0),G125/F125,"")</f>
        <v/>
      </c>
      <c r="K125" s="19" t="str">
        <f aca="false">IF(OR(I125="",J125=""),"",IF(AND(I125&gt;=Settings!$B$6,J125&gt;=Settings!$B$7),"On target","Below target"))</f>
        <v/>
      </c>
      <c r="L125" s="19" t="str">
        <f aca="false">IF(B125="","",IF(OR(E125&gt;D125,G125&gt;F125,D125&lt;0,E125&lt;0,F125&lt;0,G125&lt;0),"Check numbers","OK"))</f>
        <v/>
      </c>
    </row>
    <row r="126" customFormat="false" ht="15" hidden="false" customHeight="false" outlineLevel="0" collapsed="false">
      <c r="A126" s="15"/>
      <c r="B126" s="16"/>
      <c r="C126" s="16"/>
      <c r="D126" s="20"/>
      <c r="E126" s="20"/>
      <c r="F126" s="20"/>
      <c r="G126" s="20"/>
      <c r="H126" s="10" t="str">
        <f aca="false">IF(B126="","",IFERROR(INDEX(Campaigns!$B$5:$B$24,MATCH(B126,Campaigns!$A$5:$A$24,0)),"ID not found"))</f>
        <v/>
      </c>
      <c r="I126" s="9" t="str">
        <f aca="false">IF(AND(B126&lt;&gt;"",D126&gt;0),E126/D126,"")</f>
        <v/>
      </c>
      <c r="J126" s="9" t="str">
        <f aca="false">IF(AND(B126&lt;&gt;"",F126&gt;0),G126/F126,"")</f>
        <v/>
      </c>
      <c r="K126" s="19" t="str">
        <f aca="false">IF(OR(I126="",J126=""),"",IF(AND(I126&gt;=Settings!$B$6,J126&gt;=Settings!$B$7),"On target","Below target"))</f>
        <v/>
      </c>
      <c r="L126" s="19" t="str">
        <f aca="false">IF(B126="","",IF(OR(E126&gt;D126,G126&gt;F126,D126&lt;0,E126&lt;0,F126&lt;0,G126&lt;0),"Check numbers","OK"))</f>
        <v/>
      </c>
    </row>
    <row r="127" customFormat="false" ht="15" hidden="false" customHeight="false" outlineLevel="0" collapsed="false">
      <c r="A127" s="15"/>
      <c r="B127" s="16"/>
      <c r="C127" s="16"/>
      <c r="D127" s="20"/>
      <c r="E127" s="20"/>
      <c r="F127" s="20"/>
      <c r="G127" s="20"/>
      <c r="H127" s="10" t="str">
        <f aca="false">IF(B127="","",IFERROR(INDEX(Campaigns!$B$5:$B$24,MATCH(B127,Campaigns!$A$5:$A$24,0)),"ID not found"))</f>
        <v/>
      </c>
      <c r="I127" s="9" t="str">
        <f aca="false">IF(AND(B127&lt;&gt;"",D127&gt;0),E127/D127,"")</f>
        <v/>
      </c>
      <c r="J127" s="9" t="str">
        <f aca="false">IF(AND(B127&lt;&gt;"",F127&gt;0),G127/F127,"")</f>
        <v/>
      </c>
      <c r="K127" s="19" t="str">
        <f aca="false">IF(OR(I127="",J127=""),"",IF(AND(I127&gt;=Settings!$B$6,J127&gt;=Settings!$B$7),"On target","Below target"))</f>
        <v/>
      </c>
      <c r="L127" s="19" t="str">
        <f aca="false">IF(B127="","",IF(OR(E127&gt;D127,G127&gt;F127,D127&lt;0,E127&lt;0,F127&lt;0,G127&lt;0),"Check numbers","OK"))</f>
        <v/>
      </c>
    </row>
    <row r="128" customFormat="false" ht="15" hidden="false" customHeight="false" outlineLevel="0" collapsed="false">
      <c r="A128" s="15"/>
      <c r="B128" s="16"/>
      <c r="C128" s="16"/>
      <c r="D128" s="20"/>
      <c r="E128" s="20"/>
      <c r="F128" s="20"/>
      <c r="G128" s="20"/>
      <c r="H128" s="10" t="str">
        <f aca="false">IF(B128="","",IFERROR(INDEX(Campaigns!$B$5:$B$24,MATCH(B128,Campaigns!$A$5:$A$24,0)),"ID not found"))</f>
        <v/>
      </c>
      <c r="I128" s="9" t="str">
        <f aca="false">IF(AND(B128&lt;&gt;"",D128&gt;0),E128/D128,"")</f>
        <v/>
      </c>
      <c r="J128" s="9" t="str">
        <f aca="false">IF(AND(B128&lt;&gt;"",F128&gt;0),G128/F128,"")</f>
        <v/>
      </c>
      <c r="K128" s="19" t="str">
        <f aca="false">IF(OR(I128="",J128=""),"",IF(AND(I128&gt;=Settings!$B$6,J128&gt;=Settings!$B$7),"On target","Below target"))</f>
        <v/>
      </c>
      <c r="L128" s="19" t="str">
        <f aca="false">IF(B128="","",IF(OR(E128&gt;D128,G128&gt;F128,D128&lt;0,E128&lt;0,F128&lt;0,G128&lt;0),"Check numbers","OK"))</f>
        <v/>
      </c>
    </row>
    <row r="129" customFormat="false" ht="15" hidden="false" customHeight="false" outlineLevel="0" collapsed="false">
      <c r="A129" s="15"/>
      <c r="B129" s="16"/>
      <c r="C129" s="16"/>
      <c r="D129" s="20"/>
      <c r="E129" s="20"/>
      <c r="F129" s="20"/>
      <c r="G129" s="20"/>
      <c r="H129" s="10" t="str">
        <f aca="false">IF(B129="","",IFERROR(INDEX(Campaigns!$B$5:$B$24,MATCH(B129,Campaigns!$A$5:$A$24,0)),"ID not found"))</f>
        <v/>
      </c>
      <c r="I129" s="9" t="str">
        <f aca="false">IF(AND(B129&lt;&gt;"",D129&gt;0),E129/D129,"")</f>
        <v/>
      </c>
      <c r="J129" s="9" t="str">
        <f aca="false">IF(AND(B129&lt;&gt;"",F129&gt;0),G129/F129,"")</f>
        <v/>
      </c>
      <c r="K129" s="19" t="str">
        <f aca="false">IF(OR(I129="",J129=""),"",IF(AND(I129&gt;=Settings!$B$6,J129&gt;=Settings!$B$7),"On target","Below target"))</f>
        <v/>
      </c>
      <c r="L129" s="19" t="str">
        <f aca="false">IF(B129="","",IF(OR(E129&gt;D129,G129&gt;F129,D129&lt;0,E129&lt;0,F129&lt;0,G129&lt;0),"Check numbers","OK"))</f>
        <v/>
      </c>
    </row>
    <row r="130" customFormat="false" ht="15" hidden="false" customHeight="false" outlineLevel="0" collapsed="false">
      <c r="A130" s="15"/>
      <c r="B130" s="16"/>
      <c r="C130" s="16"/>
      <c r="D130" s="20"/>
      <c r="E130" s="20"/>
      <c r="F130" s="20"/>
      <c r="G130" s="20"/>
      <c r="H130" s="10" t="str">
        <f aca="false">IF(B130="","",IFERROR(INDEX(Campaigns!$B$5:$B$24,MATCH(B130,Campaigns!$A$5:$A$24,0)),"ID not found"))</f>
        <v/>
      </c>
      <c r="I130" s="9" t="str">
        <f aca="false">IF(AND(B130&lt;&gt;"",D130&gt;0),E130/D130,"")</f>
        <v/>
      </c>
      <c r="J130" s="9" t="str">
        <f aca="false">IF(AND(B130&lt;&gt;"",F130&gt;0),G130/F130,"")</f>
        <v/>
      </c>
      <c r="K130" s="19" t="str">
        <f aca="false">IF(OR(I130="",J130=""),"",IF(AND(I130&gt;=Settings!$B$6,J130&gt;=Settings!$B$7),"On target","Below target"))</f>
        <v/>
      </c>
      <c r="L130" s="19" t="str">
        <f aca="false">IF(B130="","",IF(OR(E130&gt;D130,G130&gt;F130,D130&lt;0,E130&lt;0,F130&lt;0,G130&lt;0),"Check numbers","OK"))</f>
        <v/>
      </c>
    </row>
    <row r="131" customFormat="false" ht="15" hidden="false" customHeight="false" outlineLevel="0" collapsed="false">
      <c r="A131" s="15"/>
      <c r="B131" s="16"/>
      <c r="C131" s="16"/>
      <c r="D131" s="20"/>
      <c r="E131" s="20"/>
      <c r="F131" s="20"/>
      <c r="G131" s="20"/>
      <c r="H131" s="10" t="str">
        <f aca="false">IF(B131="","",IFERROR(INDEX(Campaigns!$B$5:$B$24,MATCH(B131,Campaigns!$A$5:$A$24,0)),"ID not found"))</f>
        <v/>
      </c>
      <c r="I131" s="9" t="str">
        <f aca="false">IF(AND(B131&lt;&gt;"",D131&gt;0),E131/D131,"")</f>
        <v/>
      </c>
      <c r="J131" s="9" t="str">
        <f aca="false">IF(AND(B131&lt;&gt;"",F131&gt;0),G131/F131,"")</f>
        <v/>
      </c>
      <c r="K131" s="19" t="str">
        <f aca="false">IF(OR(I131="",J131=""),"",IF(AND(I131&gt;=Settings!$B$6,J131&gt;=Settings!$B$7),"On target","Below target"))</f>
        <v/>
      </c>
      <c r="L131" s="19" t="str">
        <f aca="false">IF(B131="","",IF(OR(E131&gt;D131,G131&gt;F131,D131&lt;0,E131&lt;0,F131&lt;0,G131&lt;0),"Check numbers","OK"))</f>
        <v/>
      </c>
    </row>
    <row r="132" customFormat="false" ht="15" hidden="false" customHeight="false" outlineLevel="0" collapsed="false">
      <c r="A132" s="15"/>
      <c r="B132" s="16"/>
      <c r="C132" s="16"/>
      <c r="D132" s="20"/>
      <c r="E132" s="20"/>
      <c r="F132" s="20"/>
      <c r="G132" s="20"/>
      <c r="H132" s="10" t="str">
        <f aca="false">IF(B132="","",IFERROR(INDEX(Campaigns!$B$5:$B$24,MATCH(B132,Campaigns!$A$5:$A$24,0)),"ID not found"))</f>
        <v/>
      </c>
      <c r="I132" s="9" t="str">
        <f aca="false">IF(AND(B132&lt;&gt;"",D132&gt;0),E132/D132,"")</f>
        <v/>
      </c>
      <c r="J132" s="9" t="str">
        <f aca="false">IF(AND(B132&lt;&gt;"",F132&gt;0),G132/F132,"")</f>
        <v/>
      </c>
      <c r="K132" s="19" t="str">
        <f aca="false">IF(OR(I132="",J132=""),"",IF(AND(I132&gt;=Settings!$B$6,J132&gt;=Settings!$B$7),"On target","Below target"))</f>
        <v/>
      </c>
      <c r="L132" s="19" t="str">
        <f aca="false">IF(B132="","",IF(OR(E132&gt;D132,G132&gt;F132,D132&lt;0,E132&lt;0,F132&lt;0,G132&lt;0),"Check numbers","OK"))</f>
        <v/>
      </c>
    </row>
    <row r="133" customFormat="false" ht="15" hidden="false" customHeight="false" outlineLevel="0" collapsed="false">
      <c r="A133" s="15"/>
      <c r="B133" s="16"/>
      <c r="C133" s="16"/>
      <c r="D133" s="20"/>
      <c r="E133" s="20"/>
      <c r="F133" s="20"/>
      <c r="G133" s="20"/>
      <c r="H133" s="10" t="str">
        <f aca="false">IF(B133="","",IFERROR(INDEX(Campaigns!$B$5:$B$24,MATCH(B133,Campaigns!$A$5:$A$24,0)),"ID not found"))</f>
        <v/>
      </c>
      <c r="I133" s="9" t="str">
        <f aca="false">IF(AND(B133&lt;&gt;"",D133&gt;0),E133/D133,"")</f>
        <v/>
      </c>
      <c r="J133" s="9" t="str">
        <f aca="false">IF(AND(B133&lt;&gt;"",F133&gt;0),G133/F133,"")</f>
        <v/>
      </c>
      <c r="K133" s="19" t="str">
        <f aca="false">IF(OR(I133="",J133=""),"",IF(AND(I133&gt;=Settings!$B$6,J133&gt;=Settings!$B$7),"On target","Below target"))</f>
        <v/>
      </c>
      <c r="L133" s="19" t="str">
        <f aca="false">IF(B133="","",IF(OR(E133&gt;D133,G133&gt;F133,D133&lt;0,E133&lt;0,F133&lt;0,G133&lt;0),"Check numbers","OK"))</f>
        <v/>
      </c>
    </row>
    <row r="134" customFormat="false" ht="15" hidden="false" customHeight="false" outlineLevel="0" collapsed="false">
      <c r="A134" s="15"/>
      <c r="B134" s="16"/>
      <c r="C134" s="16"/>
      <c r="D134" s="20"/>
      <c r="E134" s="20"/>
      <c r="F134" s="20"/>
      <c r="G134" s="20"/>
      <c r="H134" s="10" t="str">
        <f aca="false">IF(B134="","",IFERROR(INDEX(Campaigns!$B$5:$B$24,MATCH(B134,Campaigns!$A$5:$A$24,0)),"ID not found"))</f>
        <v/>
      </c>
      <c r="I134" s="9" t="str">
        <f aca="false">IF(AND(B134&lt;&gt;"",D134&gt;0),E134/D134,"")</f>
        <v/>
      </c>
      <c r="J134" s="9" t="str">
        <f aca="false">IF(AND(B134&lt;&gt;"",F134&gt;0),G134/F134,"")</f>
        <v/>
      </c>
      <c r="K134" s="19" t="str">
        <f aca="false">IF(OR(I134="",J134=""),"",IF(AND(I134&gt;=Settings!$B$6,J134&gt;=Settings!$B$7),"On target","Below target"))</f>
        <v/>
      </c>
      <c r="L134" s="19" t="str">
        <f aca="false">IF(B134="","",IF(OR(E134&gt;D134,G134&gt;F134,D134&lt;0,E134&lt;0,F134&lt;0,G134&lt;0),"Check numbers","OK"))</f>
        <v/>
      </c>
    </row>
    <row r="135" customFormat="false" ht="15" hidden="false" customHeight="false" outlineLevel="0" collapsed="false">
      <c r="A135" s="15"/>
      <c r="B135" s="16"/>
      <c r="C135" s="16"/>
      <c r="D135" s="20"/>
      <c r="E135" s="20"/>
      <c r="F135" s="20"/>
      <c r="G135" s="20"/>
      <c r="H135" s="10" t="str">
        <f aca="false">IF(B135="","",IFERROR(INDEX(Campaigns!$B$5:$B$24,MATCH(B135,Campaigns!$A$5:$A$24,0)),"ID not found"))</f>
        <v/>
      </c>
      <c r="I135" s="9" t="str">
        <f aca="false">IF(AND(B135&lt;&gt;"",D135&gt;0),E135/D135,"")</f>
        <v/>
      </c>
      <c r="J135" s="9" t="str">
        <f aca="false">IF(AND(B135&lt;&gt;"",F135&gt;0),G135/F135,"")</f>
        <v/>
      </c>
      <c r="K135" s="19" t="str">
        <f aca="false">IF(OR(I135="",J135=""),"",IF(AND(I135&gt;=Settings!$B$6,J135&gt;=Settings!$B$7),"On target","Below target"))</f>
        <v/>
      </c>
      <c r="L135" s="19" t="str">
        <f aca="false">IF(B135="","",IF(OR(E135&gt;D135,G135&gt;F135,D135&lt;0,E135&lt;0,F135&lt;0,G135&lt;0),"Check numbers","OK"))</f>
        <v/>
      </c>
    </row>
    <row r="136" customFormat="false" ht="15" hidden="false" customHeight="false" outlineLevel="0" collapsed="false">
      <c r="A136" s="15"/>
      <c r="B136" s="16"/>
      <c r="C136" s="16"/>
      <c r="D136" s="20"/>
      <c r="E136" s="20"/>
      <c r="F136" s="20"/>
      <c r="G136" s="20"/>
      <c r="H136" s="10" t="str">
        <f aca="false">IF(B136="","",IFERROR(INDEX(Campaigns!$B$5:$B$24,MATCH(B136,Campaigns!$A$5:$A$24,0)),"ID not found"))</f>
        <v/>
      </c>
      <c r="I136" s="9" t="str">
        <f aca="false">IF(AND(B136&lt;&gt;"",D136&gt;0),E136/D136,"")</f>
        <v/>
      </c>
      <c r="J136" s="9" t="str">
        <f aca="false">IF(AND(B136&lt;&gt;"",F136&gt;0),G136/F136,"")</f>
        <v/>
      </c>
      <c r="K136" s="19" t="str">
        <f aca="false">IF(OR(I136="",J136=""),"",IF(AND(I136&gt;=Settings!$B$6,J136&gt;=Settings!$B$7),"On target","Below target"))</f>
        <v/>
      </c>
      <c r="L136" s="19" t="str">
        <f aca="false">IF(B136="","",IF(OR(E136&gt;D136,G136&gt;F136,D136&lt;0,E136&lt;0,F136&lt;0,G136&lt;0),"Check numbers","OK"))</f>
        <v/>
      </c>
    </row>
    <row r="137" customFormat="false" ht="15" hidden="false" customHeight="false" outlineLevel="0" collapsed="false">
      <c r="A137" s="15"/>
      <c r="B137" s="16"/>
      <c r="C137" s="16"/>
      <c r="D137" s="20"/>
      <c r="E137" s="20"/>
      <c r="F137" s="20"/>
      <c r="G137" s="20"/>
      <c r="H137" s="10" t="str">
        <f aca="false">IF(B137="","",IFERROR(INDEX(Campaigns!$B$5:$B$24,MATCH(B137,Campaigns!$A$5:$A$24,0)),"ID not found"))</f>
        <v/>
      </c>
      <c r="I137" s="9" t="str">
        <f aca="false">IF(AND(B137&lt;&gt;"",D137&gt;0),E137/D137,"")</f>
        <v/>
      </c>
      <c r="J137" s="9" t="str">
        <f aca="false">IF(AND(B137&lt;&gt;"",F137&gt;0),G137/F137,"")</f>
        <v/>
      </c>
      <c r="K137" s="19" t="str">
        <f aca="false">IF(OR(I137="",J137=""),"",IF(AND(I137&gt;=Settings!$B$6,J137&gt;=Settings!$B$7),"On target","Below target"))</f>
        <v/>
      </c>
      <c r="L137" s="19" t="str">
        <f aca="false">IF(B137="","",IF(OR(E137&gt;D137,G137&gt;F137,D137&lt;0,E137&lt;0,F137&lt;0,G137&lt;0),"Check numbers","OK"))</f>
        <v/>
      </c>
    </row>
    <row r="138" customFormat="false" ht="15" hidden="false" customHeight="false" outlineLevel="0" collapsed="false">
      <c r="A138" s="15"/>
      <c r="B138" s="16"/>
      <c r="C138" s="16"/>
      <c r="D138" s="20"/>
      <c r="E138" s="20"/>
      <c r="F138" s="20"/>
      <c r="G138" s="20"/>
      <c r="H138" s="10" t="str">
        <f aca="false">IF(B138="","",IFERROR(INDEX(Campaigns!$B$5:$B$24,MATCH(B138,Campaigns!$A$5:$A$24,0)),"ID not found"))</f>
        <v/>
      </c>
      <c r="I138" s="9" t="str">
        <f aca="false">IF(AND(B138&lt;&gt;"",D138&gt;0),E138/D138,"")</f>
        <v/>
      </c>
      <c r="J138" s="9" t="str">
        <f aca="false">IF(AND(B138&lt;&gt;"",F138&gt;0),G138/F138,"")</f>
        <v/>
      </c>
      <c r="K138" s="19" t="str">
        <f aca="false">IF(OR(I138="",J138=""),"",IF(AND(I138&gt;=Settings!$B$6,J138&gt;=Settings!$B$7),"On target","Below target"))</f>
        <v/>
      </c>
      <c r="L138" s="19" t="str">
        <f aca="false">IF(B138="","",IF(OR(E138&gt;D138,G138&gt;F138,D138&lt;0,E138&lt;0,F138&lt;0,G138&lt;0),"Check numbers","OK"))</f>
        <v/>
      </c>
    </row>
    <row r="139" customFormat="false" ht="15" hidden="false" customHeight="false" outlineLevel="0" collapsed="false">
      <c r="A139" s="15"/>
      <c r="B139" s="16"/>
      <c r="C139" s="16"/>
      <c r="D139" s="20"/>
      <c r="E139" s="20"/>
      <c r="F139" s="20"/>
      <c r="G139" s="20"/>
      <c r="H139" s="10" t="str">
        <f aca="false">IF(B139="","",IFERROR(INDEX(Campaigns!$B$5:$B$24,MATCH(B139,Campaigns!$A$5:$A$24,0)),"ID not found"))</f>
        <v/>
      </c>
      <c r="I139" s="9" t="str">
        <f aca="false">IF(AND(B139&lt;&gt;"",D139&gt;0),E139/D139,"")</f>
        <v/>
      </c>
      <c r="J139" s="9" t="str">
        <f aca="false">IF(AND(B139&lt;&gt;"",F139&gt;0),G139/F139,"")</f>
        <v/>
      </c>
      <c r="K139" s="19" t="str">
        <f aca="false">IF(OR(I139="",J139=""),"",IF(AND(I139&gt;=Settings!$B$6,J139&gt;=Settings!$B$7),"On target","Below target"))</f>
        <v/>
      </c>
      <c r="L139" s="19" t="str">
        <f aca="false">IF(B139="","",IF(OR(E139&gt;D139,G139&gt;F139,D139&lt;0,E139&lt;0,F139&lt;0,G139&lt;0),"Check numbers","OK"))</f>
        <v/>
      </c>
    </row>
    <row r="140" customFormat="false" ht="15" hidden="false" customHeight="false" outlineLevel="0" collapsed="false">
      <c r="A140" s="15"/>
      <c r="B140" s="16"/>
      <c r="C140" s="16"/>
      <c r="D140" s="20"/>
      <c r="E140" s="20"/>
      <c r="F140" s="20"/>
      <c r="G140" s="20"/>
      <c r="H140" s="10" t="str">
        <f aca="false">IF(B140="","",IFERROR(INDEX(Campaigns!$B$5:$B$24,MATCH(B140,Campaigns!$A$5:$A$24,0)),"ID not found"))</f>
        <v/>
      </c>
      <c r="I140" s="9" t="str">
        <f aca="false">IF(AND(B140&lt;&gt;"",D140&gt;0),E140/D140,"")</f>
        <v/>
      </c>
      <c r="J140" s="9" t="str">
        <f aca="false">IF(AND(B140&lt;&gt;"",F140&gt;0),G140/F140,"")</f>
        <v/>
      </c>
      <c r="K140" s="19" t="str">
        <f aca="false">IF(OR(I140="",J140=""),"",IF(AND(I140&gt;=Settings!$B$6,J140&gt;=Settings!$B$7),"On target","Below target"))</f>
        <v/>
      </c>
      <c r="L140" s="19" t="str">
        <f aca="false">IF(B140="","",IF(OR(E140&gt;D140,G140&gt;F140,D140&lt;0,E140&lt;0,F140&lt;0,G140&lt;0),"Check numbers","OK"))</f>
        <v/>
      </c>
    </row>
    <row r="141" customFormat="false" ht="15" hidden="false" customHeight="false" outlineLevel="0" collapsed="false">
      <c r="A141" s="15"/>
      <c r="B141" s="16"/>
      <c r="C141" s="16"/>
      <c r="D141" s="20"/>
      <c r="E141" s="20"/>
      <c r="F141" s="20"/>
      <c r="G141" s="20"/>
      <c r="H141" s="10" t="str">
        <f aca="false">IF(B141="","",IFERROR(INDEX(Campaigns!$B$5:$B$24,MATCH(B141,Campaigns!$A$5:$A$24,0)),"ID not found"))</f>
        <v/>
      </c>
      <c r="I141" s="9" t="str">
        <f aca="false">IF(AND(B141&lt;&gt;"",D141&gt;0),E141/D141,"")</f>
        <v/>
      </c>
      <c r="J141" s="9" t="str">
        <f aca="false">IF(AND(B141&lt;&gt;"",F141&gt;0),G141/F141,"")</f>
        <v/>
      </c>
      <c r="K141" s="19" t="str">
        <f aca="false">IF(OR(I141="",J141=""),"",IF(AND(I141&gt;=Settings!$B$6,J141&gt;=Settings!$B$7),"On target","Below target"))</f>
        <v/>
      </c>
      <c r="L141" s="19" t="str">
        <f aca="false">IF(B141="","",IF(OR(E141&gt;D141,G141&gt;F141,D141&lt;0,E141&lt;0,F141&lt;0,G141&lt;0),"Check numbers","OK"))</f>
        <v/>
      </c>
    </row>
    <row r="142" customFormat="false" ht="15" hidden="false" customHeight="false" outlineLevel="0" collapsed="false">
      <c r="A142" s="15"/>
      <c r="B142" s="16"/>
      <c r="C142" s="16"/>
      <c r="D142" s="20"/>
      <c r="E142" s="20"/>
      <c r="F142" s="20"/>
      <c r="G142" s="20"/>
      <c r="H142" s="10" t="str">
        <f aca="false">IF(B142="","",IFERROR(INDEX(Campaigns!$B$5:$B$24,MATCH(B142,Campaigns!$A$5:$A$24,0)),"ID not found"))</f>
        <v/>
      </c>
      <c r="I142" s="9" t="str">
        <f aca="false">IF(AND(B142&lt;&gt;"",D142&gt;0),E142/D142,"")</f>
        <v/>
      </c>
      <c r="J142" s="9" t="str">
        <f aca="false">IF(AND(B142&lt;&gt;"",F142&gt;0),G142/F142,"")</f>
        <v/>
      </c>
      <c r="K142" s="19" t="str">
        <f aca="false">IF(OR(I142="",J142=""),"",IF(AND(I142&gt;=Settings!$B$6,J142&gt;=Settings!$B$7),"On target","Below target"))</f>
        <v/>
      </c>
      <c r="L142" s="19" t="str">
        <f aca="false">IF(B142="","",IF(OR(E142&gt;D142,G142&gt;F142,D142&lt;0,E142&lt;0,F142&lt;0,G142&lt;0),"Check numbers","OK"))</f>
        <v/>
      </c>
    </row>
    <row r="143" customFormat="false" ht="15" hidden="false" customHeight="false" outlineLevel="0" collapsed="false">
      <c r="A143" s="15"/>
      <c r="B143" s="16"/>
      <c r="C143" s="16"/>
      <c r="D143" s="20"/>
      <c r="E143" s="20"/>
      <c r="F143" s="20"/>
      <c r="G143" s="20"/>
      <c r="H143" s="10" t="str">
        <f aca="false">IF(B143="","",IFERROR(INDEX(Campaigns!$B$5:$B$24,MATCH(B143,Campaigns!$A$5:$A$24,0)),"ID not found"))</f>
        <v/>
      </c>
      <c r="I143" s="9" t="str">
        <f aca="false">IF(AND(B143&lt;&gt;"",D143&gt;0),E143/D143,"")</f>
        <v/>
      </c>
      <c r="J143" s="9" t="str">
        <f aca="false">IF(AND(B143&lt;&gt;"",F143&gt;0),G143/F143,"")</f>
        <v/>
      </c>
      <c r="K143" s="19" t="str">
        <f aca="false">IF(OR(I143="",J143=""),"",IF(AND(I143&gt;=Settings!$B$6,J143&gt;=Settings!$B$7),"On target","Below target"))</f>
        <v/>
      </c>
      <c r="L143" s="19" t="str">
        <f aca="false">IF(B143="","",IF(OR(E143&gt;D143,G143&gt;F143,D143&lt;0,E143&lt;0,F143&lt;0,G143&lt;0),"Check numbers","OK"))</f>
        <v/>
      </c>
    </row>
    <row r="144" customFormat="false" ht="15" hidden="false" customHeight="false" outlineLevel="0" collapsed="false">
      <c r="A144" s="15"/>
      <c r="B144" s="16"/>
      <c r="C144" s="16"/>
      <c r="D144" s="20"/>
      <c r="E144" s="20"/>
      <c r="F144" s="20"/>
      <c r="G144" s="20"/>
      <c r="H144" s="10" t="str">
        <f aca="false">IF(B144="","",IFERROR(INDEX(Campaigns!$B$5:$B$24,MATCH(B144,Campaigns!$A$5:$A$24,0)),"ID not found"))</f>
        <v/>
      </c>
      <c r="I144" s="9" t="str">
        <f aca="false">IF(AND(B144&lt;&gt;"",D144&gt;0),E144/D144,"")</f>
        <v/>
      </c>
      <c r="J144" s="9" t="str">
        <f aca="false">IF(AND(B144&lt;&gt;"",F144&gt;0),G144/F144,"")</f>
        <v/>
      </c>
      <c r="K144" s="19" t="str">
        <f aca="false">IF(OR(I144="",J144=""),"",IF(AND(I144&gt;=Settings!$B$6,J144&gt;=Settings!$B$7),"On target","Below target"))</f>
        <v/>
      </c>
      <c r="L144" s="19" t="str">
        <f aca="false">IF(B144="","",IF(OR(E144&gt;D144,G144&gt;F144,D144&lt;0,E144&lt;0,F144&lt;0,G144&lt;0),"Check numbers","OK"))</f>
        <v/>
      </c>
    </row>
    <row r="145" customFormat="false" ht="15" hidden="false" customHeight="false" outlineLevel="0" collapsed="false">
      <c r="A145" s="15"/>
      <c r="B145" s="16"/>
      <c r="C145" s="16"/>
      <c r="D145" s="20"/>
      <c r="E145" s="20"/>
      <c r="F145" s="20"/>
      <c r="G145" s="20"/>
      <c r="H145" s="10" t="str">
        <f aca="false">IF(B145="","",IFERROR(INDEX(Campaigns!$B$5:$B$24,MATCH(B145,Campaigns!$A$5:$A$24,0)),"ID not found"))</f>
        <v/>
      </c>
      <c r="I145" s="9" t="str">
        <f aca="false">IF(AND(B145&lt;&gt;"",D145&gt;0),E145/D145,"")</f>
        <v/>
      </c>
      <c r="J145" s="9" t="str">
        <f aca="false">IF(AND(B145&lt;&gt;"",F145&gt;0),G145/F145,"")</f>
        <v/>
      </c>
      <c r="K145" s="19" t="str">
        <f aca="false">IF(OR(I145="",J145=""),"",IF(AND(I145&gt;=Settings!$B$6,J145&gt;=Settings!$B$7),"On target","Below target"))</f>
        <v/>
      </c>
      <c r="L145" s="19" t="str">
        <f aca="false">IF(B145="","",IF(OR(E145&gt;D145,G145&gt;F145,D145&lt;0,E145&lt;0,F145&lt;0,G145&lt;0),"Check numbers","OK"))</f>
        <v/>
      </c>
    </row>
    <row r="146" customFormat="false" ht="15" hidden="false" customHeight="false" outlineLevel="0" collapsed="false">
      <c r="A146" s="15"/>
      <c r="B146" s="16"/>
      <c r="C146" s="16"/>
      <c r="D146" s="20"/>
      <c r="E146" s="20"/>
      <c r="F146" s="20"/>
      <c r="G146" s="20"/>
      <c r="H146" s="10" t="str">
        <f aca="false">IF(B146="","",IFERROR(INDEX(Campaigns!$B$5:$B$24,MATCH(B146,Campaigns!$A$5:$A$24,0)),"ID not found"))</f>
        <v/>
      </c>
      <c r="I146" s="9" t="str">
        <f aca="false">IF(AND(B146&lt;&gt;"",D146&gt;0),E146/D146,"")</f>
        <v/>
      </c>
      <c r="J146" s="9" t="str">
        <f aca="false">IF(AND(B146&lt;&gt;"",F146&gt;0),G146/F146,"")</f>
        <v/>
      </c>
      <c r="K146" s="19" t="str">
        <f aca="false">IF(OR(I146="",J146=""),"",IF(AND(I146&gt;=Settings!$B$6,J146&gt;=Settings!$B$7),"On target","Below target"))</f>
        <v/>
      </c>
      <c r="L146" s="19" t="str">
        <f aca="false">IF(B146="","",IF(OR(E146&gt;D146,G146&gt;F146,D146&lt;0,E146&lt;0,F146&lt;0,G146&lt;0),"Check numbers","OK"))</f>
        <v/>
      </c>
    </row>
    <row r="147" customFormat="false" ht="15" hidden="false" customHeight="false" outlineLevel="0" collapsed="false">
      <c r="A147" s="15"/>
      <c r="B147" s="16"/>
      <c r="C147" s="16"/>
      <c r="D147" s="20"/>
      <c r="E147" s="20"/>
      <c r="F147" s="20"/>
      <c r="G147" s="20"/>
      <c r="H147" s="10" t="str">
        <f aca="false">IF(B147="","",IFERROR(INDEX(Campaigns!$B$5:$B$24,MATCH(B147,Campaigns!$A$5:$A$24,0)),"ID not found"))</f>
        <v/>
      </c>
      <c r="I147" s="9" t="str">
        <f aca="false">IF(AND(B147&lt;&gt;"",D147&gt;0),E147/D147,"")</f>
        <v/>
      </c>
      <c r="J147" s="9" t="str">
        <f aca="false">IF(AND(B147&lt;&gt;"",F147&gt;0),G147/F147,"")</f>
        <v/>
      </c>
      <c r="K147" s="19" t="str">
        <f aca="false">IF(OR(I147="",J147=""),"",IF(AND(I147&gt;=Settings!$B$6,J147&gt;=Settings!$B$7),"On target","Below target"))</f>
        <v/>
      </c>
      <c r="L147" s="19" t="str">
        <f aca="false">IF(B147="","",IF(OR(E147&gt;D147,G147&gt;F147,D147&lt;0,E147&lt;0,F147&lt;0,G147&lt;0),"Check numbers","OK"))</f>
        <v/>
      </c>
    </row>
    <row r="148" customFormat="false" ht="15" hidden="false" customHeight="false" outlineLevel="0" collapsed="false">
      <c r="A148" s="15"/>
      <c r="B148" s="16"/>
      <c r="C148" s="16"/>
      <c r="D148" s="20"/>
      <c r="E148" s="20"/>
      <c r="F148" s="20"/>
      <c r="G148" s="20"/>
      <c r="H148" s="10" t="str">
        <f aca="false">IF(B148="","",IFERROR(INDEX(Campaigns!$B$5:$B$24,MATCH(B148,Campaigns!$A$5:$A$24,0)),"ID not found"))</f>
        <v/>
      </c>
      <c r="I148" s="9" t="str">
        <f aca="false">IF(AND(B148&lt;&gt;"",D148&gt;0),E148/D148,"")</f>
        <v/>
      </c>
      <c r="J148" s="9" t="str">
        <f aca="false">IF(AND(B148&lt;&gt;"",F148&gt;0),G148/F148,"")</f>
        <v/>
      </c>
      <c r="K148" s="19" t="str">
        <f aca="false">IF(OR(I148="",J148=""),"",IF(AND(I148&gt;=Settings!$B$6,J148&gt;=Settings!$B$7),"On target","Below target"))</f>
        <v/>
      </c>
      <c r="L148" s="19" t="str">
        <f aca="false">IF(B148="","",IF(OR(E148&gt;D148,G148&gt;F148,D148&lt;0,E148&lt;0,F148&lt;0,G148&lt;0),"Check numbers","OK"))</f>
        <v/>
      </c>
    </row>
    <row r="149" customFormat="false" ht="15" hidden="false" customHeight="false" outlineLevel="0" collapsed="false">
      <c r="A149" s="15"/>
      <c r="B149" s="16"/>
      <c r="C149" s="16"/>
      <c r="D149" s="20"/>
      <c r="E149" s="20"/>
      <c r="F149" s="20"/>
      <c r="G149" s="20"/>
      <c r="H149" s="10" t="str">
        <f aca="false">IF(B149="","",IFERROR(INDEX(Campaigns!$B$5:$B$24,MATCH(B149,Campaigns!$A$5:$A$24,0)),"ID not found"))</f>
        <v/>
      </c>
      <c r="I149" s="9" t="str">
        <f aca="false">IF(AND(B149&lt;&gt;"",D149&gt;0),E149/D149,"")</f>
        <v/>
      </c>
      <c r="J149" s="9" t="str">
        <f aca="false">IF(AND(B149&lt;&gt;"",F149&gt;0),G149/F149,"")</f>
        <v/>
      </c>
      <c r="K149" s="19" t="str">
        <f aca="false">IF(OR(I149="",J149=""),"",IF(AND(I149&gt;=Settings!$B$6,J149&gt;=Settings!$B$7),"On target","Below target"))</f>
        <v/>
      </c>
      <c r="L149" s="19" t="str">
        <f aca="false">IF(B149="","",IF(OR(E149&gt;D149,G149&gt;F149,D149&lt;0,E149&lt;0,F149&lt;0,G149&lt;0),"Check numbers","OK"))</f>
        <v/>
      </c>
    </row>
    <row r="150" customFormat="false" ht="15" hidden="false" customHeight="false" outlineLevel="0" collapsed="false">
      <c r="A150" s="15"/>
      <c r="B150" s="16"/>
      <c r="C150" s="16"/>
      <c r="D150" s="20"/>
      <c r="E150" s="20"/>
      <c r="F150" s="20"/>
      <c r="G150" s="20"/>
      <c r="H150" s="10" t="str">
        <f aca="false">IF(B150="","",IFERROR(INDEX(Campaigns!$B$5:$B$24,MATCH(B150,Campaigns!$A$5:$A$24,0)),"ID not found"))</f>
        <v/>
      </c>
      <c r="I150" s="9" t="str">
        <f aca="false">IF(AND(B150&lt;&gt;"",D150&gt;0),E150/D150,"")</f>
        <v/>
      </c>
      <c r="J150" s="9" t="str">
        <f aca="false">IF(AND(B150&lt;&gt;"",F150&gt;0),G150/F150,"")</f>
        <v/>
      </c>
      <c r="K150" s="19" t="str">
        <f aca="false">IF(OR(I150="",J150=""),"",IF(AND(I150&gt;=Settings!$B$6,J150&gt;=Settings!$B$7),"On target","Below target"))</f>
        <v/>
      </c>
      <c r="L150" s="19" t="str">
        <f aca="false">IF(B150="","",IF(OR(E150&gt;D150,G150&gt;F150,D150&lt;0,E150&lt;0,F150&lt;0,G150&lt;0),"Check numbers","OK"))</f>
        <v/>
      </c>
    </row>
    <row r="151" customFormat="false" ht="15" hidden="false" customHeight="false" outlineLevel="0" collapsed="false">
      <c r="A151" s="15"/>
      <c r="B151" s="16"/>
      <c r="C151" s="16"/>
      <c r="D151" s="20"/>
      <c r="E151" s="20"/>
      <c r="F151" s="20"/>
      <c r="G151" s="20"/>
      <c r="H151" s="10" t="str">
        <f aca="false">IF(B151="","",IFERROR(INDEX(Campaigns!$B$5:$B$24,MATCH(B151,Campaigns!$A$5:$A$24,0)),"ID not found"))</f>
        <v/>
      </c>
      <c r="I151" s="9" t="str">
        <f aca="false">IF(AND(B151&lt;&gt;"",D151&gt;0),E151/D151,"")</f>
        <v/>
      </c>
      <c r="J151" s="9" t="str">
        <f aca="false">IF(AND(B151&lt;&gt;"",F151&gt;0),G151/F151,"")</f>
        <v/>
      </c>
      <c r="K151" s="19" t="str">
        <f aca="false">IF(OR(I151="",J151=""),"",IF(AND(I151&gt;=Settings!$B$6,J151&gt;=Settings!$B$7),"On target","Below target"))</f>
        <v/>
      </c>
      <c r="L151" s="19" t="str">
        <f aca="false">IF(B151="","",IF(OR(E151&gt;D151,G151&gt;F151,D151&lt;0,E151&lt;0,F151&lt;0,G151&lt;0),"Check numbers","OK"))</f>
        <v/>
      </c>
    </row>
    <row r="152" customFormat="false" ht="15" hidden="false" customHeight="false" outlineLevel="0" collapsed="false">
      <c r="A152" s="15"/>
      <c r="B152" s="16"/>
      <c r="C152" s="16"/>
      <c r="D152" s="20"/>
      <c r="E152" s="20"/>
      <c r="F152" s="20"/>
      <c r="G152" s="20"/>
      <c r="H152" s="10" t="str">
        <f aca="false">IF(B152="","",IFERROR(INDEX(Campaigns!$B$5:$B$24,MATCH(B152,Campaigns!$A$5:$A$24,0)),"ID not found"))</f>
        <v/>
      </c>
      <c r="I152" s="9" t="str">
        <f aca="false">IF(AND(B152&lt;&gt;"",D152&gt;0),E152/D152,"")</f>
        <v/>
      </c>
      <c r="J152" s="9" t="str">
        <f aca="false">IF(AND(B152&lt;&gt;"",F152&gt;0),G152/F152,"")</f>
        <v/>
      </c>
      <c r="K152" s="19" t="str">
        <f aca="false">IF(OR(I152="",J152=""),"",IF(AND(I152&gt;=Settings!$B$6,J152&gt;=Settings!$B$7),"On target","Below target"))</f>
        <v/>
      </c>
      <c r="L152" s="19" t="str">
        <f aca="false">IF(B152="","",IF(OR(E152&gt;D152,G152&gt;F152,D152&lt;0,E152&lt;0,F152&lt;0,G152&lt;0),"Check numbers","OK"))</f>
        <v/>
      </c>
    </row>
    <row r="153" customFormat="false" ht="15" hidden="false" customHeight="false" outlineLevel="0" collapsed="false">
      <c r="A153" s="15"/>
      <c r="B153" s="16"/>
      <c r="C153" s="16"/>
      <c r="D153" s="20"/>
      <c r="E153" s="20"/>
      <c r="F153" s="20"/>
      <c r="G153" s="20"/>
      <c r="H153" s="10" t="str">
        <f aca="false">IF(B153="","",IFERROR(INDEX(Campaigns!$B$5:$B$24,MATCH(B153,Campaigns!$A$5:$A$24,0)),"ID not found"))</f>
        <v/>
      </c>
      <c r="I153" s="9" t="str">
        <f aca="false">IF(AND(B153&lt;&gt;"",D153&gt;0),E153/D153,"")</f>
        <v/>
      </c>
      <c r="J153" s="9" t="str">
        <f aca="false">IF(AND(B153&lt;&gt;"",F153&gt;0),G153/F153,"")</f>
        <v/>
      </c>
      <c r="K153" s="19" t="str">
        <f aca="false">IF(OR(I153="",J153=""),"",IF(AND(I153&gt;=Settings!$B$6,J153&gt;=Settings!$B$7),"On target","Below target"))</f>
        <v/>
      </c>
      <c r="L153" s="19" t="str">
        <f aca="false">IF(B153="","",IF(OR(E153&gt;D153,G153&gt;F153,D153&lt;0,E153&lt;0,F153&lt;0,G153&lt;0),"Check numbers","OK"))</f>
        <v/>
      </c>
    </row>
    <row r="154" customFormat="false" ht="15" hidden="false" customHeight="false" outlineLevel="0" collapsed="false">
      <c r="A154" s="15"/>
      <c r="B154" s="16"/>
      <c r="C154" s="16"/>
      <c r="D154" s="20"/>
      <c r="E154" s="20"/>
      <c r="F154" s="20"/>
      <c r="G154" s="20"/>
      <c r="H154" s="10" t="str">
        <f aca="false">IF(B154="","",IFERROR(INDEX(Campaigns!$B$5:$B$24,MATCH(B154,Campaigns!$A$5:$A$24,0)),"ID not found"))</f>
        <v/>
      </c>
      <c r="I154" s="9" t="str">
        <f aca="false">IF(AND(B154&lt;&gt;"",D154&gt;0),E154/D154,"")</f>
        <v/>
      </c>
      <c r="J154" s="9" t="str">
        <f aca="false">IF(AND(B154&lt;&gt;"",F154&gt;0),G154/F154,"")</f>
        <v/>
      </c>
      <c r="K154" s="19" t="str">
        <f aca="false">IF(OR(I154="",J154=""),"",IF(AND(I154&gt;=Settings!$B$6,J154&gt;=Settings!$B$7),"On target","Below target"))</f>
        <v/>
      </c>
      <c r="L154" s="19" t="str">
        <f aca="false">IF(B154="","",IF(OR(E154&gt;D154,G154&gt;F154,D154&lt;0,E154&lt;0,F154&lt;0,G154&lt;0),"Check numbers","OK"))</f>
        <v/>
      </c>
    </row>
    <row r="155" customFormat="false" ht="15" hidden="false" customHeight="false" outlineLevel="0" collapsed="false">
      <c r="A155" s="15"/>
      <c r="B155" s="16"/>
      <c r="C155" s="16"/>
      <c r="D155" s="20"/>
      <c r="E155" s="20"/>
      <c r="F155" s="20"/>
      <c r="G155" s="20"/>
      <c r="H155" s="10" t="str">
        <f aca="false">IF(B155="","",IFERROR(INDEX(Campaigns!$B$5:$B$24,MATCH(B155,Campaigns!$A$5:$A$24,0)),"ID not found"))</f>
        <v/>
      </c>
      <c r="I155" s="9" t="str">
        <f aca="false">IF(AND(B155&lt;&gt;"",D155&gt;0),E155/D155,"")</f>
        <v/>
      </c>
      <c r="J155" s="9" t="str">
        <f aca="false">IF(AND(B155&lt;&gt;"",F155&gt;0),G155/F155,"")</f>
        <v/>
      </c>
      <c r="K155" s="19" t="str">
        <f aca="false">IF(OR(I155="",J155=""),"",IF(AND(I155&gt;=Settings!$B$6,J155&gt;=Settings!$B$7),"On target","Below target"))</f>
        <v/>
      </c>
      <c r="L155" s="19" t="str">
        <f aca="false">IF(B155="","",IF(OR(E155&gt;D155,G155&gt;F155,D155&lt;0,E155&lt;0,F155&lt;0,G155&lt;0),"Check numbers","OK"))</f>
        <v/>
      </c>
    </row>
    <row r="156" customFormat="false" ht="15" hidden="false" customHeight="false" outlineLevel="0" collapsed="false">
      <c r="A156" s="15"/>
      <c r="B156" s="16"/>
      <c r="C156" s="16"/>
      <c r="D156" s="20"/>
      <c r="E156" s="20"/>
      <c r="F156" s="20"/>
      <c r="G156" s="20"/>
      <c r="H156" s="10" t="str">
        <f aca="false">IF(B156="","",IFERROR(INDEX(Campaigns!$B$5:$B$24,MATCH(B156,Campaigns!$A$5:$A$24,0)),"ID not found"))</f>
        <v/>
      </c>
      <c r="I156" s="9" t="str">
        <f aca="false">IF(AND(B156&lt;&gt;"",D156&gt;0),E156/D156,"")</f>
        <v/>
      </c>
      <c r="J156" s="9" t="str">
        <f aca="false">IF(AND(B156&lt;&gt;"",F156&gt;0),G156/F156,"")</f>
        <v/>
      </c>
      <c r="K156" s="19" t="str">
        <f aca="false">IF(OR(I156="",J156=""),"",IF(AND(I156&gt;=Settings!$B$6,J156&gt;=Settings!$B$7),"On target","Below target"))</f>
        <v/>
      </c>
      <c r="L156" s="19" t="str">
        <f aca="false">IF(B156="","",IF(OR(E156&gt;D156,G156&gt;F156,D156&lt;0,E156&lt;0,F156&lt;0,G156&lt;0),"Check numbers","OK"))</f>
        <v/>
      </c>
    </row>
    <row r="157" customFormat="false" ht="15" hidden="false" customHeight="false" outlineLevel="0" collapsed="false">
      <c r="A157" s="15"/>
      <c r="B157" s="16"/>
      <c r="C157" s="16"/>
      <c r="D157" s="20"/>
      <c r="E157" s="20"/>
      <c r="F157" s="20"/>
      <c r="G157" s="20"/>
      <c r="H157" s="10" t="str">
        <f aca="false">IF(B157="","",IFERROR(INDEX(Campaigns!$B$5:$B$24,MATCH(B157,Campaigns!$A$5:$A$24,0)),"ID not found"))</f>
        <v/>
      </c>
      <c r="I157" s="9" t="str">
        <f aca="false">IF(AND(B157&lt;&gt;"",D157&gt;0),E157/D157,"")</f>
        <v/>
      </c>
      <c r="J157" s="9" t="str">
        <f aca="false">IF(AND(B157&lt;&gt;"",F157&gt;0),G157/F157,"")</f>
        <v/>
      </c>
      <c r="K157" s="19" t="str">
        <f aca="false">IF(OR(I157="",J157=""),"",IF(AND(I157&gt;=Settings!$B$6,J157&gt;=Settings!$B$7),"On target","Below target"))</f>
        <v/>
      </c>
      <c r="L157" s="19" t="str">
        <f aca="false">IF(B157="","",IF(OR(E157&gt;D157,G157&gt;F157,D157&lt;0,E157&lt;0,F157&lt;0,G157&lt;0),"Check numbers","OK"))</f>
        <v/>
      </c>
    </row>
    <row r="158" customFormat="false" ht="15" hidden="false" customHeight="false" outlineLevel="0" collapsed="false">
      <c r="A158" s="15"/>
      <c r="B158" s="16"/>
      <c r="C158" s="16"/>
      <c r="D158" s="20"/>
      <c r="E158" s="20"/>
      <c r="F158" s="20"/>
      <c r="G158" s="20"/>
      <c r="H158" s="10" t="str">
        <f aca="false">IF(B158="","",IFERROR(INDEX(Campaigns!$B$5:$B$24,MATCH(B158,Campaigns!$A$5:$A$24,0)),"ID not found"))</f>
        <v/>
      </c>
      <c r="I158" s="9" t="str">
        <f aca="false">IF(AND(B158&lt;&gt;"",D158&gt;0),E158/D158,"")</f>
        <v/>
      </c>
      <c r="J158" s="9" t="str">
        <f aca="false">IF(AND(B158&lt;&gt;"",F158&gt;0),G158/F158,"")</f>
        <v/>
      </c>
      <c r="K158" s="19" t="str">
        <f aca="false">IF(OR(I158="",J158=""),"",IF(AND(I158&gt;=Settings!$B$6,J158&gt;=Settings!$B$7),"On target","Below target"))</f>
        <v/>
      </c>
      <c r="L158" s="19" t="str">
        <f aca="false">IF(B158="","",IF(OR(E158&gt;D158,G158&gt;F158,D158&lt;0,E158&lt;0,F158&lt;0,G158&lt;0),"Check numbers","OK"))</f>
        <v/>
      </c>
    </row>
    <row r="159" customFormat="false" ht="15" hidden="false" customHeight="false" outlineLevel="0" collapsed="false">
      <c r="A159" s="15"/>
      <c r="B159" s="16"/>
      <c r="C159" s="16"/>
      <c r="D159" s="20"/>
      <c r="E159" s="20"/>
      <c r="F159" s="20"/>
      <c r="G159" s="20"/>
      <c r="H159" s="10" t="str">
        <f aca="false">IF(B159="","",IFERROR(INDEX(Campaigns!$B$5:$B$24,MATCH(B159,Campaigns!$A$5:$A$24,0)),"ID not found"))</f>
        <v/>
      </c>
      <c r="I159" s="9" t="str">
        <f aca="false">IF(AND(B159&lt;&gt;"",D159&gt;0),E159/D159,"")</f>
        <v/>
      </c>
      <c r="J159" s="9" t="str">
        <f aca="false">IF(AND(B159&lt;&gt;"",F159&gt;0),G159/F159,"")</f>
        <v/>
      </c>
      <c r="K159" s="19" t="str">
        <f aca="false">IF(OR(I159="",J159=""),"",IF(AND(I159&gt;=Settings!$B$6,J159&gt;=Settings!$B$7),"On target","Below target"))</f>
        <v/>
      </c>
      <c r="L159" s="19" t="str">
        <f aca="false">IF(B159="","",IF(OR(E159&gt;D159,G159&gt;F159,D159&lt;0,E159&lt;0,F159&lt;0,G159&lt;0),"Check numbers","OK"))</f>
        <v/>
      </c>
    </row>
    <row r="160" customFormat="false" ht="15" hidden="false" customHeight="false" outlineLevel="0" collapsed="false">
      <c r="A160" s="15"/>
      <c r="B160" s="16"/>
      <c r="C160" s="16"/>
      <c r="D160" s="20"/>
      <c r="E160" s="20"/>
      <c r="F160" s="20"/>
      <c r="G160" s="20"/>
      <c r="H160" s="10" t="str">
        <f aca="false">IF(B160="","",IFERROR(INDEX(Campaigns!$B$5:$B$24,MATCH(B160,Campaigns!$A$5:$A$24,0)),"ID not found"))</f>
        <v/>
      </c>
      <c r="I160" s="9" t="str">
        <f aca="false">IF(AND(B160&lt;&gt;"",D160&gt;0),E160/D160,"")</f>
        <v/>
      </c>
      <c r="J160" s="9" t="str">
        <f aca="false">IF(AND(B160&lt;&gt;"",F160&gt;0),G160/F160,"")</f>
        <v/>
      </c>
      <c r="K160" s="19" t="str">
        <f aca="false">IF(OR(I160="",J160=""),"",IF(AND(I160&gt;=Settings!$B$6,J160&gt;=Settings!$B$7),"On target","Below target"))</f>
        <v/>
      </c>
      <c r="L160" s="19" t="str">
        <f aca="false">IF(B160="","",IF(OR(E160&gt;D160,G160&gt;F160,D160&lt;0,E160&lt;0,F160&lt;0,G160&lt;0),"Check numbers","OK"))</f>
        <v/>
      </c>
    </row>
    <row r="161" customFormat="false" ht="15" hidden="false" customHeight="false" outlineLevel="0" collapsed="false">
      <c r="A161" s="15"/>
      <c r="B161" s="16"/>
      <c r="C161" s="16"/>
      <c r="D161" s="20"/>
      <c r="E161" s="20"/>
      <c r="F161" s="20"/>
      <c r="G161" s="20"/>
      <c r="H161" s="10" t="str">
        <f aca="false">IF(B161="","",IFERROR(INDEX(Campaigns!$B$5:$B$24,MATCH(B161,Campaigns!$A$5:$A$24,0)),"ID not found"))</f>
        <v/>
      </c>
      <c r="I161" s="9" t="str">
        <f aca="false">IF(AND(B161&lt;&gt;"",D161&gt;0),E161/D161,"")</f>
        <v/>
      </c>
      <c r="J161" s="9" t="str">
        <f aca="false">IF(AND(B161&lt;&gt;"",F161&gt;0),G161/F161,"")</f>
        <v/>
      </c>
      <c r="K161" s="19" t="str">
        <f aca="false">IF(OR(I161="",J161=""),"",IF(AND(I161&gt;=Settings!$B$6,J161&gt;=Settings!$B$7),"On target","Below target"))</f>
        <v/>
      </c>
      <c r="L161" s="19" t="str">
        <f aca="false">IF(B161="","",IF(OR(E161&gt;D161,G161&gt;F161,D161&lt;0,E161&lt;0,F161&lt;0,G161&lt;0),"Check numbers","OK"))</f>
        <v/>
      </c>
    </row>
    <row r="162" customFormat="false" ht="15" hidden="false" customHeight="false" outlineLevel="0" collapsed="false">
      <c r="A162" s="15"/>
      <c r="B162" s="16"/>
      <c r="C162" s="16"/>
      <c r="D162" s="20"/>
      <c r="E162" s="20"/>
      <c r="F162" s="20"/>
      <c r="G162" s="20"/>
      <c r="H162" s="10" t="str">
        <f aca="false">IF(B162="","",IFERROR(INDEX(Campaigns!$B$5:$B$24,MATCH(B162,Campaigns!$A$5:$A$24,0)),"ID not found"))</f>
        <v/>
      </c>
      <c r="I162" s="9" t="str">
        <f aca="false">IF(AND(B162&lt;&gt;"",D162&gt;0),E162/D162,"")</f>
        <v/>
      </c>
      <c r="J162" s="9" t="str">
        <f aca="false">IF(AND(B162&lt;&gt;"",F162&gt;0),G162/F162,"")</f>
        <v/>
      </c>
      <c r="K162" s="19" t="str">
        <f aca="false">IF(OR(I162="",J162=""),"",IF(AND(I162&gt;=Settings!$B$6,J162&gt;=Settings!$B$7),"On target","Below target"))</f>
        <v/>
      </c>
      <c r="L162" s="19" t="str">
        <f aca="false">IF(B162="","",IF(OR(E162&gt;D162,G162&gt;F162,D162&lt;0,E162&lt;0,F162&lt;0,G162&lt;0),"Check numbers","OK"))</f>
        <v/>
      </c>
    </row>
    <row r="163" customFormat="false" ht="15" hidden="false" customHeight="false" outlineLevel="0" collapsed="false">
      <c r="A163" s="15"/>
      <c r="B163" s="16"/>
      <c r="C163" s="16"/>
      <c r="D163" s="20"/>
      <c r="E163" s="20"/>
      <c r="F163" s="20"/>
      <c r="G163" s="20"/>
      <c r="H163" s="10" t="str">
        <f aca="false">IF(B163="","",IFERROR(INDEX(Campaigns!$B$5:$B$24,MATCH(B163,Campaigns!$A$5:$A$24,0)),"ID not found"))</f>
        <v/>
      </c>
      <c r="I163" s="9" t="str">
        <f aca="false">IF(AND(B163&lt;&gt;"",D163&gt;0),E163/D163,"")</f>
        <v/>
      </c>
      <c r="J163" s="9" t="str">
        <f aca="false">IF(AND(B163&lt;&gt;"",F163&gt;0),G163/F163,"")</f>
        <v/>
      </c>
      <c r="K163" s="19" t="str">
        <f aca="false">IF(OR(I163="",J163=""),"",IF(AND(I163&gt;=Settings!$B$6,J163&gt;=Settings!$B$7),"On target","Below target"))</f>
        <v/>
      </c>
      <c r="L163" s="19" t="str">
        <f aca="false">IF(B163="","",IF(OR(E163&gt;D163,G163&gt;F163,D163&lt;0,E163&lt;0,F163&lt;0,G163&lt;0),"Check numbers","OK"))</f>
        <v/>
      </c>
    </row>
    <row r="164" customFormat="false" ht="15" hidden="false" customHeight="false" outlineLevel="0" collapsed="false">
      <c r="A164" s="15"/>
      <c r="B164" s="16"/>
      <c r="C164" s="16"/>
      <c r="D164" s="20"/>
      <c r="E164" s="20"/>
      <c r="F164" s="20"/>
      <c r="G164" s="20"/>
      <c r="H164" s="10" t="str">
        <f aca="false">IF(B164="","",IFERROR(INDEX(Campaigns!$B$5:$B$24,MATCH(B164,Campaigns!$A$5:$A$24,0)),"ID not found"))</f>
        <v/>
      </c>
      <c r="I164" s="9" t="str">
        <f aca="false">IF(AND(B164&lt;&gt;"",D164&gt;0),E164/D164,"")</f>
        <v/>
      </c>
      <c r="J164" s="9" t="str">
        <f aca="false">IF(AND(B164&lt;&gt;"",F164&gt;0),G164/F164,"")</f>
        <v/>
      </c>
      <c r="K164" s="19" t="str">
        <f aca="false">IF(OR(I164="",J164=""),"",IF(AND(I164&gt;=Settings!$B$6,J164&gt;=Settings!$B$7),"On target","Below target"))</f>
        <v/>
      </c>
      <c r="L164" s="19" t="str">
        <f aca="false">IF(B164="","",IF(OR(E164&gt;D164,G164&gt;F164,D164&lt;0,E164&lt;0,F164&lt;0,G164&lt;0),"Check numbers","OK"))</f>
        <v/>
      </c>
    </row>
    <row r="165" customFormat="false" ht="15" hidden="false" customHeight="false" outlineLevel="0" collapsed="false">
      <c r="A165" s="15"/>
      <c r="B165" s="16"/>
      <c r="C165" s="16"/>
      <c r="D165" s="20"/>
      <c r="E165" s="20"/>
      <c r="F165" s="20"/>
      <c r="G165" s="20"/>
      <c r="H165" s="10" t="str">
        <f aca="false">IF(B165="","",IFERROR(INDEX(Campaigns!$B$5:$B$24,MATCH(B165,Campaigns!$A$5:$A$24,0)),"ID not found"))</f>
        <v/>
      </c>
      <c r="I165" s="9" t="str">
        <f aca="false">IF(AND(B165&lt;&gt;"",D165&gt;0),E165/D165,"")</f>
        <v/>
      </c>
      <c r="J165" s="9" t="str">
        <f aca="false">IF(AND(B165&lt;&gt;"",F165&gt;0),G165/F165,"")</f>
        <v/>
      </c>
      <c r="K165" s="19" t="str">
        <f aca="false">IF(OR(I165="",J165=""),"",IF(AND(I165&gt;=Settings!$B$6,J165&gt;=Settings!$B$7),"On target","Below target"))</f>
        <v/>
      </c>
      <c r="L165" s="19" t="str">
        <f aca="false">IF(B165="","",IF(OR(E165&gt;D165,G165&gt;F165,D165&lt;0,E165&lt;0,F165&lt;0,G165&lt;0),"Check numbers","OK"))</f>
        <v/>
      </c>
    </row>
    <row r="166" customFormat="false" ht="15" hidden="false" customHeight="false" outlineLevel="0" collapsed="false">
      <c r="A166" s="15"/>
      <c r="B166" s="16"/>
      <c r="C166" s="16"/>
      <c r="D166" s="20"/>
      <c r="E166" s="20"/>
      <c r="F166" s="20"/>
      <c r="G166" s="20"/>
      <c r="H166" s="10" t="str">
        <f aca="false">IF(B166="","",IFERROR(INDEX(Campaigns!$B$5:$B$24,MATCH(B166,Campaigns!$A$5:$A$24,0)),"ID not found"))</f>
        <v/>
      </c>
      <c r="I166" s="9" t="str">
        <f aca="false">IF(AND(B166&lt;&gt;"",D166&gt;0),E166/D166,"")</f>
        <v/>
      </c>
      <c r="J166" s="9" t="str">
        <f aca="false">IF(AND(B166&lt;&gt;"",F166&gt;0),G166/F166,"")</f>
        <v/>
      </c>
      <c r="K166" s="19" t="str">
        <f aca="false">IF(OR(I166="",J166=""),"",IF(AND(I166&gt;=Settings!$B$6,J166&gt;=Settings!$B$7),"On target","Below target"))</f>
        <v/>
      </c>
      <c r="L166" s="19" t="str">
        <f aca="false">IF(B166="","",IF(OR(E166&gt;D166,G166&gt;F166,D166&lt;0,E166&lt;0,F166&lt;0,G166&lt;0),"Check numbers","OK"))</f>
        <v/>
      </c>
    </row>
    <row r="167" customFormat="false" ht="15" hidden="false" customHeight="false" outlineLevel="0" collapsed="false">
      <c r="A167" s="15"/>
      <c r="B167" s="16"/>
      <c r="C167" s="16"/>
      <c r="D167" s="20"/>
      <c r="E167" s="20"/>
      <c r="F167" s="20"/>
      <c r="G167" s="20"/>
      <c r="H167" s="10" t="str">
        <f aca="false">IF(B167="","",IFERROR(INDEX(Campaigns!$B$5:$B$24,MATCH(B167,Campaigns!$A$5:$A$24,0)),"ID not found"))</f>
        <v/>
      </c>
      <c r="I167" s="9" t="str">
        <f aca="false">IF(AND(B167&lt;&gt;"",D167&gt;0),E167/D167,"")</f>
        <v/>
      </c>
      <c r="J167" s="9" t="str">
        <f aca="false">IF(AND(B167&lt;&gt;"",F167&gt;0),G167/F167,"")</f>
        <v/>
      </c>
      <c r="K167" s="19" t="str">
        <f aca="false">IF(OR(I167="",J167=""),"",IF(AND(I167&gt;=Settings!$B$6,J167&gt;=Settings!$B$7),"On target","Below target"))</f>
        <v/>
      </c>
      <c r="L167" s="19" t="str">
        <f aca="false">IF(B167="","",IF(OR(E167&gt;D167,G167&gt;F167,D167&lt;0,E167&lt;0,F167&lt;0,G167&lt;0),"Check numbers","OK"))</f>
        <v/>
      </c>
    </row>
    <row r="168" customFormat="false" ht="15" hidden="false" customHeight="false" outlineLevel="0" collapsed="false">
      <c r="A168" s="15"/>
      <c r="B168" s="16"/>
      <c r="C168" s="16"/>
      <c r="D168" s="20"/>
      <c r="E168" s="20"/>
      <c r="F168" s="20"/>
      <c r="G168" s="20"/>
      <c r="H168" s="10" t="str">
        <f aca="false">IF(B168="","",IFERROR(INDEX(Campaigns!$B$5:$B$24,MATCH(B168,Campaigns!$A$5:$A$24,0)),"ID not found"))</f>
        <v/>
      </c>
      <c r="I168" s="9" t="str">
        <f aca="false">IF(AND(B168&lt;&gt;"",D168&gt;0),E168/D168,"")</f>
        <v/>
      </c>
      <c r="J168" s="9" t="str">
        <f aca="false">IF(AND(B168&lt;&gt;"",F168&gt;0),G168/F168,"")</f>
        <v/>
      </c>
      <c r="K168" s="19" t="str">
        <f aca="false">IF(OR(I168="",J168=""),"",IF(AND(I168&gt;=Settings!$B$6,J168&gt;=Settings!$B$7),"On target","Below target"))</f>
        <v/>
      </c>
      <c r="L168" s="19" t="str">
        <f aca="false">IF(B168="","",IF(OR(E168&gt;D168,G168&gt;F168,D168&lt;0,E168&lt;0,F168&lt;0,G168&lt;0),"Check numbers","OK"))</f>
        <v/>
      </c>
    </row>
    <row r="169" customFormat="false" ht="15" hidden="false" customHeight="false" outlineLevel="0" collapsed="false">
      <c r="A169" s="15"/>
      <c r="B169" s="16"/>
      <c r="C169" s="16"/>
      <c r="D169" s="20"/>
      <c r="E169" s="20"/>
      <c r="F169" s="20"/>
      <c r="G169" s="20"/>
      <c r="H169" s="10" t="str">
        <f aca="false">IF(B169="","",IFERROR(INDEX(Campaigns!$B$5:$B$24,MATCH(B169,Campaigns!$A$5:$A$24,0)),"ID not found"))</f>
        <v/>
      </c>
      <c r="I169" s="9" t="str">
        <f aca="false">IF(AND(B169&lt;&gt;"",D169&gt;0),E169/D169,"")</f>
        <v/>
      </c>
      <c r="J169" s="9" t="str">
        <f aca="false">IF(AND(B169&lt;&gt;"",F169&gt;0),G169/F169,"")</f>
        <v/>
      </c>
      <c r="K169" s="19" t="str">
        <f aca="false">IF(OR(I169="",J169=""),"",IF(AND(I169&gt;=Settings!$B$6,J169&gt;=Settings!$B$7),"On target","Below target"))</f>
        <v/>
      </c>
      <c r="L169" s="19" t="str">
        <f aca="false">IF(B169="","",IF(OR(E169&gt;D169,G169&gt;F169,D169&lt;0,E169&lt;0,F169&lt;0,G169&lt;0),"Check numbers","OK"))</f>
        <v/>
      </c>
    </row>
    <row r="170" customFormat="false" ht="15" hidden="false" customHeight="false" outlineLevel="0" collapsed="false">
      <c r="A170" s="15"/>
      <c r="B170" s="16"/>
      <c r="C170" s="16"/>
      <c r="D170" s="20"/>
      <c r="E170" s="20"/>
      <c r="F170" s="20"/>
      <c r="G170" s="20"/>
      <c r="H170" s="10" t="str">
        <f aca="false">IF(B170="","",IFERROR(INDEX(Campaigns!$B$5:$B$24,MATCH(B170,Campaigns!$A$5:$A$24,0)),"ID not found"))</f>
        <v/>
      </c>
      <c r="I170" s="9" t="str">
        <f aca="false">IF(AND(B170&lt;&gt;"",D170&gt;0),E170/D170,"")</f>
        <v/>
      </c>
      <c r="J170" s="9" t="str">
        <f aca="false">IF(AND(B170&lt;&gt;"",F170&gt;0),G170/F170,"")</f>
        <v/>
      </c>
      <c r="K170" s="19" t="str">
        <f aca="false">IF(OR(I170="",J170=""),"",IF(AND(I170&gt;=Settings!$B$6,J170&gt;=Settings!$B$7),"On target","Below target"))</f>
        <v/>
      </c>
      <c r="L170" s="19" t="str">
        <f aca="false">IF(B170="","",IF(OR(E170&gt;D170,G170&gt;F170,D170&lt;0,E170&lt;0,F170&lt;0,G170&lt;0),"Check numbers","OK"))</f>
        <v/>
      </c>
    </row>
    <row r="171" customFormat="false" ht="15" hidden="false" customHeight="false" outlineLevel="0" collapsed="false">
      <c r="A171" s="15"/>
      <c r="B171" s="16"/>
      <c r="C171" s="16"/>
      <c r="D171" s="20"/>
      <c r="E171" s="20"/>
      <c r="F171" s="20"/>
      <c r="G171" s="20"/>
      <c r="H171" s="10" t="str">
        <f aca="false">IF(B171="","",IFERROR(INDEX(Campaigns!$B$5:$B$24,MATCH(B171,Campaigns!$A$5:$A$24,0)),"ID not found"))</f>
        <v/>
      </c>
      <c r="I171" s="9" t="str">
        <f aca="false">IF(AND(B171&lt;&gt;"",D171&gt;0),E171/D171,"")</f>
        <v/>
      </c>
      <c r="J171" s="9" t="str">
        <f aca="false">IF(AND(B171&lt;&gt;"",F171&gt;0),G171/F171,"")</f>
        <v/>
      </c>
      <c r="K171" s="19" t="str">
        <f aca="false">IF(OR(I171="",J171=""),"",IF(AND(I171&gt;=Settings!$B$6,J171&gt;=Settings!$B$7),"On target","Below target"))</f>
        <v/>
      </c>
      <c r="L171" s="19" t="str">
        <f aca="false">IF(B171="","",IF(OR(E171&gt;D171,G171&gt;F171,D171&lt;0,E171&lt;0,F171&lt;0,G171&lt;0),"Check numbers","OK"))</f>
        <v/>
      </c>
    </row>
    <row r="172" customFormat="false" ht="15" hidden="false" customHeight="false" outlineLevel="0" collapsed="false">
      <c r="A172" s="15"/>
      <c r="B172" s="16"/>
      <c r="C172" s="16"/>
      <c r="D172" s="20"/>
      <c r="E172" s="20"/>
      <c r="F172" s="20"/>
      <c r="G172" s="20"/>
      <c r="H172" s="10" t="str">
        <f aca="false">IF(B172="","",IFERROR(INDEX(Campaigns!$B$5:$B$24,MATCH(B172,Campaigns!$A$5:$A$24,0)),"ID not found"))</f>
        <v/>
      </c>
      <c r="I172" s="9" t="str">
        <f aca="false">IF(AND(B172&lt;&gt;"",D172&gt;0),E172/D172,"")</f>
        <v/>
      </c>
      <c r="J172" s="9" t="str">
        <f aca="false">IF(AND(B172&lt;&gt;"",F172&gt;0),G172/F172,"")</f>
        <v/>
      </c>
      <c r="K172" s="19" t="str">
        <f aca="false">IF(OR(I172="",J172=""),"",IF(AND(I172&gt;=Settings!$B$6,J172&gt;=Settings!$B$7),"On target","Below target"))</f>
        <v/>
      </c>
      <c r="L172" s="19" t="str">
        <f aca="false">IF(B172="","",IF(OR(E172&gt;D172,G172&gt;F172,D172&lt;0,E172&lt;0,F172&lt;0,G172&lt;0),"Check numbers","OK"))</f>
        <v/>
      </c>
    </row>
    <row r="173" customFormat="false" ht="15" hidden="false" customHeight="false" outlineLevel="0" collapsed="false">
      <c r="A173" s="15"/>
      <c r="B173" s="16"/>
      <c r="C173" s="16"/>
      <c r="D173" s="20"/>
      <c r="E173" s="20"/>
      <c r="F173" s="20"/>
      <c r="G173" s="20"/>
      <c r="H173" s="10" t="str">
        <f aca="false">IF(B173="","",IFERROR(INDEX(Campaigns!$B$5:$B$24,MATCH(B173,Campaigns!$A$5:$A$24,0)),"ID not found"))</f>
        <v/>
      </c>
      <c r="I173" s="9" t="str">
        <f aca="false">IF(AND(B173&lt;&gt;"",D173&gt;0),E173/D173,"")</f>
        <v/>
      </c>
      <c r="J173" s="9" t="str">
        <f aca="false">IF(AND(B173&lt;&gt;"",F173&gt;0),G173/F173,"")</f>
        <v/>
      </c>
      <c r="K173" s="19" t="str">
        <f aca="false">IF(OR(I173="",J173=""),"",IF(AND(I173&gt;=Settings!$B$6,J173&gt;=Settings!$B$7),"On target","Below target"))</f>
        <v/>
      </c>
      <c r="L173" s="19" t="str">
        <f aca="false">IF(B173="","",IF(OR(E173&gt;D173,G173&gt;F173,D173&lt;0,E173&lt;0,F173&lt;0,G173&lt;0),"Check numbers","OK"))</f>
        <v/>
      </c>
    </row>
    <row r="174" customFormat="false" ht="15" hidden="false" customHeight="false" outlineLevel="0" collapsed="false">
      <c r="A174" s="15"/>
      <c r="B174" s="16"/>
      <c r="C174" s="16"/>
      <c r="D174" s="20"/>
      <c r="E174" s="20"/>
      <c r="F174" s="20"/>
      <c r="G174" s="20"/>
      <c r="H174" s="10" t="str">
        <f aca="false">IF(B174="","",IFERROR(INDEX(Campaigns!$B$5:$B$24,MATCH(B174,Campaigns!$A$5:$A$24,0)),"ID not found"))</f>
        <v/>
      </c>
      <c r="I174" s="9" t="str">
        <f aca="false">IF(AND(B174&lt;&gt;"",D174&gt;0),E174/D174,"")</f>
        <v/>
      </c>
      <c r="J174" s="9" t="str">
        <f aca="false">IF(AND(B174&lt;&gt;"",F174&gt;0),G174/F174,"")</f>
        <v/>
      </c>
      <c r="K174" s="19" t="str">
        <f aca="false">IF(OR(I174="",J174=""),"",IF(AND(I174&gt;=Settings!$B$6,J174&gt;=Settings!$B$7),"On target","Below target"))</f>
        <v/>
      </c>
      <c r="L174" s="19" t="str">
        <f aca="false">IF(B174="","",IF(OR(E174&gt;D174,G174&gt;F174,D174&lt;0,E174&lt;0,F174&lt;0,G174&lt;0),"Check numbers","OK"))</f>
        <v/>
      </c>
    </row>
    <row r="175" customFormat="false" ht="15" hidden="false" customHeight="false" outlineLevel="0" collapsed="false">
      <c r="A175" s="15"/>
      <c r="B175" s="16"/>
      <c r="C175" s="16"/>
      <c r="D175" s="20"/>
      <c r="E175" s="20"/>
      <c r="F175" s="20"/>
      <c r="G175" s="20"/>
      <c r="H175" s="10" t="str">
        <f aca="false">IF(B175="","",IFERROR(INDEX(Campaigns!$B$5:$B$24,MATCH(B175,Campaigns!$A$5:$A$24,0)),"ID not found"))</f>
        <v/>
      </c>
      <c r="I175" s="9" t="str">
        <f aca="false">IF(AND(B175&lt;&gt;"",D175&gt;0),E175/D175,"")</f>
        <v/>
      </c>
      <c r="J175" s="9" t="str">
        <f aca="false">IF(AND(B175&lt;&gt;"",F175&gt;0),G175/F175,"")</f>
        <v/>
      </c>
      <c r="K175" s="19" t="str">
        <f aca="false">IF(OR(I175="",J175=""),"",IF(AND(I175&gt;=Settings!$B$6,J175&gt;=Settings!$B$7),"On target","Below target"))</f>
        <v/>
      </c>
      <c r="L175" s="19" t="str">
        <f aca="false">IF(B175="","",IF(OR(E175&gt;D175,G175&gt;F175,D175&lt;0,E175&lt;0,F175&lt;0,G175&lt;0),"Check numbers","OK"))</f>
        <v/>
      </c>
    </row>
    <row r="176" customFormat="false" ht="15" hidden="false" customHeight="false" outlineLevel="0" collapsed="false">
      <c r="A176" s="15"/>
      <c r="B176" s="16"/>
      <c r="C176" s="16"/>
      <c r="D176" s="20"/>
      <c r="E176" s="20"/>
      <c r="F176" s="20"/>
      <c r="G176" s="20"/>
      <c r="H176" s="10" t="str">
        <f aca="false">IF(B176="","",IFERROR(INDEX(Campaigns!$B$5:$B$24,MATCH(B176,Campaigns!$A$5:$A$24,0)),"ID not found"))</f>
        <v/>
      </c>
      <c r="I176" s="9" t="str">
        <f aca="false">IF(AND(B176&lt;&gt;"",D176&gt;0),E176/D176,"")</f>
        <v/>
      </c>
      <c r="J176" s="9" t="str">
        <f aca="false">IF(AND(B176&lt;&gt;"",F176&gt;0),G176/F176,"")</f>
        <v/>
      </c>
      <c r="K176" s="19" t="str">
        <f aca="false">IF(OR(I176="",J176=""),"",IF(AND(I176&gt;=Settings!$B$6,J176&gt;=Settings!$B$7),"On target","Below target"))</f>
        <v/>
      </c>
      <c r="L176" s="19" t="str">
        <f aca="false">IF(B176="","",IF(OR(E176&gt;D176,G176&gt;F176,D176&lt;0,E176&lt;0,F176&lt;0,G176&lt;0),"Check numbers","OK"))</f>
        <v/>
      </c>
    </row>
    <row r="177" customFormat="false" ht="15" hidden="false" customHeight="false" outlineLevel="0" collapsed="false">
      <c r="A177" s="15"/>
      <c r="B177" s="16"/>
      <c r="C177" s="16"/>
      <c r="D177" s="20"/>
      <c r="E177" s="20"/>
      <c r="F177" s="20"/>
      <c r="G177" s="20"/>
      <c r="H177" s="10" t="str">
        <f aca="false">IF(B177="","",IFERROR(INDEX(Campaigns!$B$5:$B$24,MATCH(B177,Campaigns!$A$5:$A$24,0)),"ID not found"))</f>
        <v/>
      </c>
      <c r="I177" s="9" t="str">
        <f aca="false">IF(AND(B177&lt;&gt;"",D177&gt;0),E177/D177,"")</f>
        <v/>
      </c>
      <c r="J177" s="9" t="str">
        <f aca="false">IF(AND(B177&lt;&gt;"",F177&gt;0),G177/F177,"")</f>
        <v/>
      </c>
      <c r="K177" s="19" t="str">
        <f aca="false">IF(OR(I177="",J177=""),"",IF(AND(I177&gt;=Settings!$B$6,J177&gt;=Settings!$B$7),"On target","Below target"))</f>
        <v/>
      </c>
      <c r="L177" s="19" t="str">
        <f aca="false">IF(B177="","",IF(OR(E177&gt;D177,G177&gt;F177,D177&lt;0,E177&lt;0,F177&lt;0,G177&lt;0),"Check numbers","OK"))</f>
        <v/>
      </c>
    </row>
    <row r="178" customFormat="false" ht="15" hidden="false" customHeight="false" outlineLevel="0" collapsed="false">
      <c r="A178" s="15"/>
      <c r="B178" s="16"/>
      <c r="C178" s="16"/>
      <c r="D178" s="20"/>
      <c r="E178" s="20"/>
      <c r="F178" s="20"/>
      <c r="G178" s="20"/>
      <c r="H178" s="10" t="str">
        <f aca="false">IF(B178="","",IFERROR(INDEX(Campaigns!$B$5:$B$24,MATCH(B178,Campaigns!$A$5:$A$24,0)),"ID not found"))</f>
        <v/>
      </c>
      <c r="I178" s="9" t="str">
        <f aca="false">IF(AND(B178&lt;&gt;"",D178&gt;0),E178/D178,"")</f>
        <v/>
      </c>
      <c r="J178" s="9" t="str">
        <f aca="false">IF(AND(B178&lt;&gt;"",F178&gt;0),G178/F178,"")</f>
        <v/>
      </c>
      <c r="K178" s="19" t="str">
        <f aca="false">IF(OR(I178="",J178=""),"",IF(AND(I178&gt;=Settings!$B$6,J178&gt;=Settings!$B$7),"On target","Below target"))</f>
        <v/>
      </c>
      <c r="L178" s="19" t="str">
        <f aca="false">IF(B178="","",IF(OR(E178&gt;D178,G178&gt;F178,D178&lt;0,E178&lt;0,F178&lt;0,G178&lt;0),"Check numbers","OK"))</f>
        <v/>
      </c>
    </row>
    <row r="179" customFormat="false" ht="15" hidden="false" customHeight="false" outlineLevel="0" collapsed="false">
      <c r="A179" s="15"/>
      <c r="B179" s="16"/>
      <c r="C179" s="16"/>
      <c r="D179" s="20"/>
      <c r="E179" s="20"/>
      <c r="F179" s="20"/>
      <c r="G179" s="20"/>
      <c r="H179" s="10" t="str">
        <f aca="false">IF(B179="","",IFERROR(INDEX(Campaigns!$B$5:$B$24,MATCH(B179,Campaigns!$A$5:$A$24,0)),"ID not found"))</f>
        <v/>
      </c>
      <c r="I179" s="9" t="str">
        <f aca="false">IF(AND(B179&lt;&gt;"",D179&gt;0),E179/D179,"")</f>
        <v/>
      </c>
      <c r="J179" s="9" t="str">
        <f aca="false">IF(AND(B179&lt;&gt;"",F179&gt;0),G179/F179,"")</f>
        <v/>
      </c>
      <c r="K179" s="19" t="str">
        <f aca="false">IF(OR(I179="",J179=""),"",IF(AND(I179&gt;=Settings!$B$6,J179&gt;=Settings!$B$7),"On target","Below target"))</f>
        <v/>
      </c>
      <c r="L179" s="19" t="str">
        <f aca="false">IF(B179="","",IF(OR(E179&gt;D179,G179&gt;F179,D179&lt;0,E179&lt;0,F179&lt;0,G179&lt;0),"Check numbers","OK"))</f>
        <v/>
      </c>
    </row>
    <row r="180" customFormat="false" ht="15" hidden="false" customHeight="false" outlineLevel="0" collapsed="false">
      <c r="A180" s="15"/>
      <c r="B180" s="16"/>
      <c r="C180" s="16"/>
      <c r="D180" s="20"/>
      <c r="E180" s="20"/>
      <c r="F180" s="20"/>
      <c r="G180" s="20"/>
      <c r="H180" s="10" t="str">
        <f aca="false">IF(B180="","",IFERROR(INDEX(Campaigns!$B$5:$B$24,MATCH(B180,Campaigns!$A$5:$A$24,0)),"ID not found"))</f>
        <v/>
      </c>
      <c r="I180" s="9" t="str">
        <f aca="false">IF(AND(B180&lt;&gt;"",D180&gt;0),E180/D180,"")</f>
        <v/>
      </c>
      <c r="J180" s="9" t="str">
        <f aca="false">IF(AND(B180&lt;&gt;"",F180&gt;0),G180/F180,"")</f>
        <v/>
      </c>
      <c r="K180" s="19" t="str">
        <f aca="false">IF(OR(I180="",J180=""),"",IF(AND(I180&gt;=Settings!$B$6,J180&gt;=Settings!$B$7),"On target","Below target"))</f>
        <v/>
      </c>
      <c r="L180" s="19" t="str">
        <f aca="false">IF(B180="","",IF(OR(E180&gt;D180,G180&gt;F180,D180&lt;0,E180&lt;0,F180&lt;0,G180&lt;0),"Check numbers","OK"))</f>
        <v/>
      </c>
    </row>
    <row r="181" customFormat="false" ht="15" hidden="false" customHeight="false" outlineLevel="0" collapsed="false">
      <c r="A181" s="15"/>
      <c r="B181" s="16"/>
      <c r="C181" s="16"/>
      <c r="D181" s="20"/>
      <c r="E181" s="20"/>
      <c r="F181" s="20"/>
      <c r="G181" s="20"/>
      <c r="H181" s="10" t="str">
        <f aca="false">IF(B181="","",IFERROR(INDEX(Campaigns!$B$5:$B$24,MATCH(B181,Campaigns!$A$5:$A$24,0)),"ID not found"))</f>
        <v/>
      </c>
      <c r="I181" s="9" t="str">
        <f aca="false">IF(AND(B181&lt;&gt;"",D181&gt;0),E181/D181,"")</f>
        <v/>
      </c>
      <c r="J181" s="9" t="str">
        <f aca="false">IF(AND(B181&lt;&gt;"",F181&gt;0),G181/F181,"")</f>
        <v/>
      </c>
      <c r="K181" s="19" t="str">
        <f aca="false">IF(OR(I181="",J181=""),"",IF(AND(I181&gt;=Settings!$B$6,J181&gt;=Settings!$B$7),"On target","Below target"))</f>
        <v/>
      </c>
      <c r="L181" s="19" t="str">
        <f aca="false">IF(B181="","",IF(OR(E181&gt;D181,G181&gt;F181,D181&lt;0,E181&lt;0,F181&lt;0,G181&lt;0),"Check numbers","OK"))</f>
        <v/>
      </c>
    </row>
    <row r="182" customFormat="false" ht="15" hidden="false" customHeight="false" outlineLevel="0" collapsed="false">
      <c r="A182" s="15"/>
      <c r="B182" s="16"/>
      <c r="C182" s="16"/>
      <c r="D182" s="20"/>
      <c r="E182" s="20"/>
      <c r="F182" s="20"/>
      <c r="G182" s="20"/>
      <c r="H182" s="10" t="str">
        <f aca="false">IF(B182="","",IFERROR(INDEX(Campaigns!$B$5:$B$24,MATCH(B182,Campaigns!$A$5:$A$24,0)),"ID not found"))</f>
        <v/>
      </c>
      <c r="I182" s="9" t="str">
        <f aca="false">IF(AND(B182&lt;&gt;"",D182&gt;0),E182/D182,"")</f>
        <v/>
      </c>
      <c r="J182" s="9" t="str">
        <f aca="false">IF(AND(B182&lt;&gt;"",F182&gt;0),G182/F182,"")</f>
        <v/>
      </c>
      <c r="K182" s="19" t="str">
        <f aca="false">IF(OR(I182="",J182=""),"",IF(AND(I182&gt;=Settings!$B$6,J182&gt;=Settings!$B$7),"On target","Below target"))</f>
        <v/>
      </c>
      <c r="L182" s="19" t="str">
        <f aca="false">IF(B182="","",IF(OR(E182&gt;D182,G182&gt;F182,D182&lt;0,E182&lt;0,F182&lt;0,G182&lt;0),"Check numbers","OK"))</f>
        <v/>
      </c>
    </row>
    <row r="183" customFormat="false" ht="15" hidden="false" customHeight="false" outlineLevel="0" collapsed="false">
      <c r="A183" s="15"/>
      <c r="B183" s="16"/>
      <c r="C183" s="16"/>
      <c r="D183" s="20"/>
      <c r="E183" s="20"/>
      <c r="F183" s="20"/>
      <c r="G183" s="20"/>
      <c r="H183" s="10" t="str">
        <f aca="false">IF(B183="","",IFERROR(INDEX(Campaigns!$B$5:$B$24,MATCH(B183,Campaigns!$A$5:$A$24,0)),"ID not found"))</f>
        <v/>
      </c>
      <c r="I183" s="9" t="str">
        <f aca="false">IF(AND(B183&lt;&gt;"",D183&gt;0),E183/D183,"")</f>
        <v/>
      </c>
      <c r="J183" s="9" t="str">
        <f aca="false">IF(AND(B183&lt;&gt;"",F183&gt;0),G183/F183,"")</f>
        <v/>
      </c>
      <c r="K183" s="19" t="str">
        <f aca="false">IF(OR(I183="",J183=""),"",IF(AND(I183&gt;=Settings!$B$6,J183&gt;=Settings!$B$7),"On target","Below target"))</f>
        <v/>
      </c>
      <c r="L183" s="19" t="str">
        <f aca="false">IF(B183="","",IF(OR(E183&gt;D183,G183&gt;F183,D183&lt;0,E183&lt;0,F183&lt;0,G183&lt;0),"Check numbers","OK"))</f>
        <v/>
      </c>
    </row>
    <row r="184" customFormat="false" ht="15" hidden="false" customHeight="false" outlineLevel="0" collapsed="false">
      <c r="A184" s="15"/>
      <c r="B184" s="16"/>
      <c r="C184" s="16"/>
      <c r="D184" s="20"/>
      <c r="E184" s="20"/>
      <c r="F184" s="20"/>
      <c r="G184" s="20"/>
      <c r="H184" s="10" t="str">
        <f aca="false">IF(B184="","",IFERROR(INDEX(Campaigns!$B$5:$B$24,MATCH(B184,Campaigns!$A$5:$A$24,0)),"ID not found"))</f>
        <v/>
      </c>
      <c r="I184" s="9" t="str">
        <f aca="false">IF(AND(B184&lt;&gt;"",D184&gt;0),E184/D184,"")</f>
        <v/>
      </c>
      <c r="J184" s="9" t="str">
        <f aca="false">IF(AND(B184&lt;&gt;"",F184&gt;0),G184/F184,"")</f>
        <v/>
      </c>
      <c r="K184" s="19" t="str">
        <f aca="false">IF(OR(I184="",J184=""),"",IF(AND(I184&gt;=Settings!$B$6,J184&gt;=Settings!$B$7),"On target","Below target"))</f>
        <v/>
      </c>
      <c r="L184" s="19" t="str">
        <f aca="false">IF(B184="","",IF(OR(E184&gt;D184,G184&gt;F184,D184&lt;0,E184&lt;0,F184&lt;0,G184&lt;0),"Check numbers","OK"))</f>
        <v/>
      </c>
    </row>
    <row r="185" customFormat="false" ht="15" hidden="false" customHeight="false" outlineLevel="0" collapsed="false">
      <c r="A185" s="15"/>
      <c r="B185" s="16"/>
      <c r="C185" s="16"/>
      <c r="D185" s="20"/>
      <c r="E185" s="20"/>
      <c r="F185" s="20"/>
      <c r="G185" s="20"/>
      <c r="H185" s="10" t="str">
        <f aca="false">IF(B185="","",IFERROR(INDEX(Campaigns!$B$5:$B$24,MATCH(B185,Campaigns!$A$5:$A$24,0)),"ID not found"))</f>
        <v/>
      </c>
      <c r="I185" s="9" t="str">
        <f aca="false">IF(AND(B185&lt;&gt;"",D185&gt;0),E185/D185,"")</f>
        <v/>
      </c>
      <c r="J185" s="9" t="str">
        <f aca="false">IF(AND(B185&lt;&gt;"",F185&gt;0),G185/F185,"")</f>
        <v/>
      </c>
      <c r="K185" s="19" t="str">
        <f aca="false">IF(OR(I185="",J185=""),"",IF(AND(I185&gt;=Settings!$B$6,J185&gt;=Settings!$B$7),"On target","Below target"))</f>
        <v/>
      </c>
      <c r="L185" s="19" t="str">
        <f aca="false">IF(B185="","",IF(OR(E185&gt;D185,G185&gt;F185,D185&lt;0,E185&lt;0,F185&lt;0,G185&lt;0),"Check numbers","OK"))</f>
        <v/>
      </c>
    </row>
    <row r="186" customFormat="false" ht="15" hidden="false" customHeight="false" outlineLevel="0" collapsed="false">
      <c r="A186" s="15"/>
      <c r="B186" s="16"/>
      <c r="C186" s="16"/>
      <c r="D186" s="20"/>
      <c r="E186" s="20"/>
      <c r="F186" s="20"/>
      <c r="G186" s="20"/>
      <c r="H186" s="10" t="str">
        <f aca="false">IF(B186="","",IFERROR(INDEX(Campaigns!$B$5:$B$24,MATCH(B186,Campaigns!$A$5:$A$24,0)),"ID not found"))</f>
        <v/>
      </c>
      <c r="I186" s="9" t="str">
        <f aca="false">IF(AND(B186&lt;&gt;"",D186&gt;0),E186/D186,"")</f>
        <v/>
      </c>
      <c r="J186" s="9" t="str">
        <f aca="false">IF(AND(B186&lt;&gt;"",F186&gt;0),G186/F186,"")</f>
        <v/>
      </c>
      <c r="K186" s="19" t="str">
        <f aca="false">IF(OR(I186="",J186=""),"",IF(AND(I186&gt;=Settings!$B$6,J186&gt;=Settings!$B$7),"On target","Below target"))</f>
        <v/>
      </c>
      <c r="L186" s="19" t="str">
        <f aca="false">IF(B186="","",IF(OR(E186&gt;D186,G186&gt;F186,D186&lt;0,E186&lt;0,F186&lt;0,G186&lt;0),"Check numbers","OK"))</f>
        <v/>
      </c>
    </row>
    <row r="187" customFormat="false" ht="15" hidden="false" customHeight="false" outlineLevel="0" collapsed="false">
      <c r="A187" s="15"/>
      <c r="B187" s="16"/>
      <c r="C187" s="16"/>
      <c r="D187" s="20"/>
      <c r="E187" s="20"/>
      <c r="F187" s="20"/>
      <c r="G187" s="20"/>
      <c r="H187" s="10" t="str">
        <f aca="false">IF(B187="","",IFERROR(INDEX(Campaigns!$B$5:$B$24,MATCH(B187,Campaigns!$A$5:$A$24,0)),"ID not found"))</f>
        <v/>
      </c>
      <c r="I187" s="9" t="str">
        <f aca="false">IF(AND(B187&lt;&gt;"",D187&gt;0),E187/D187,"")</f>
        <v/>
      </c>
      <c r="J187" s="9" t="str">
        <f aca="false">IF(AND(B187&lt;&gt;"",F187&gt;0),G187/F187,"")</f>
        <v/>
      </c>
      <c r="K187" s="19" t="str">
        <f aca="false">IF(OR(I187="",J187=""),"",IF(AND(I187&gt;=Settings!$B$6,J187&gt;=Settings!$B$7),"On target","Below target"))</f>
        <v/>
      </c>
      <c r="L187" s="19" t="str">
        <f aca="false">IF(B187="","",IF(OR(E187&gt;D187,G187&gt;F187,D187&lt;0,E187&lt;0,F187&lt;0,G187&lt;0),"Check numbers","OK"))</f>
        <v/>
      </c>
    </row>
    <row r="188" customFormat="false" ht="15" hidden="false" customHeight="false" outlineLevel="0" collapsed="false">
      <c r="A188" s="15"/>
      <c r="B188" s="16"/>
      <c r="C188" s="16"/>
      <c r="D188" s="20"/>
      <c r="E188" s="20"/>
      <c r="F188" s="20"/>
      <c r="G188" s="20"/>
      <c r="H188" s="10" t="str">
        <f aca="false">IF(B188="","",IFERROR(INDEX(Campaigns!$B$5:$B$24,MATCH(B188,Campaigns!$A$5:$A$24,0)),"ID not found"))</f>
        <v/>
      </c>
      <c r="I188" s="9" t="str">
        <f aca="false">IF(AND(B188&lt;&gt;"",D188&gt;0),E188/D188,"")</f>
        <v/>
      </c>
      <c r="J188" s="9" t="str">
        <f aca="false">IF(AND(B188&lt;&gt;"",F188&gt;0),G188/F188,"")</f>
        <v/>
      </c>
      <c r="K188" s="19" t="str">
        <f aca="false">IF(OR(I188="",J188=""),"",IF(AND(I188&gt;=Settings!$B$6,J188&gt;=Settings!$B$7),"On target","Below target"))</f>
        <v/>
      </c>
      <c r="L188" s="19" t="str">
        <f aca="false">IF(B188="","",IF(OR(E188&gt;D188,G188&gt;F188,D188&lt;0,E188&lt;0,F188&lt;0,G188&lt;0),"Check numbers","OK"))</f>
        <v/>
      </c>
    </row>
    <row r="189" customFormat="false" ht="15" hidden="false" customHeight="false" outlineLevel="0" collapsed="false">
      <c r="A189" s="15"/>
      <c r="B189" s="16"/>
      <c r="C189" s="16"/>
      <c r="D189" s="20"/>
      <c r="E189" s="20"/>
      <c r="F189" s="20"/>
      <c r="G189" s="20"/>
      <c r="H189" s="10" t="str">
        <f aca="false">IF(B189="","",IFERROR(INDEX(Campaigns!$B$5:$B$24,MATCH(B189,Campaigns!$A$5:$A$24,0)),"ID not found"))</f>
        <v/>
      </c>
      <c r="I189" s="9" t="str">
        <f aca="false">IF(AND(B189&lt;&gt;"",D189&gt;0),E189/D189,"")</f>
        <v/>
      </c>
      <c r="J189" s="9" t="str">
        <f aca="false">IF(AND(B189&lt;&gt;"",F189&gt;0),G189/F189,"")</f>
        <v/>
      </c>
      <c r="K189" s="19" t="str">
        <f aca="false">IF(OR(I189="",J189=""),"",IF(AND(I189&gt;=Settings!$B$6,J189&gt;=Settings!$B$7),"On target","Below target"))</f>
        <v/>
      </c>
      <c r="L189" s="19" t="str">
        <f aca="false">IF(B189="","",IF(OR(E189&gt;D189,G189&gt;F189,D189&lt;0,E189&lt;0,F189&lt;0,G189&lt;0),"Check numbers","OK"))</f>
        <v/>
      </c>
    </row>
    <row r="190" customFormat="false" ht="15" hidden="false" customHeight="false" outlineLevel="0" collapsed="false">
      <c r="A190" s="15"/>
      <c r="B190" s="16"/>
      <c r="C190" s="16"/>
      <c r="D190" s="20"/>
      <c r="E190" s="20"/>
      <c r="F190" s="20"/>
      <c r="G190" s="20"/>
      <c r="H190" s="10" t="str">
        <f aca="false">IF(B190="","",IFERROR(INDEX(Campaigns!$B$5:$B$24,MATCH(B190,Campaigns!$A$5:$A$24,0)),"ID not found"))</f>
        <v/>
      </c>
      <c r="I190" s="9" t="str">
        <f aca="false">IF(AND(B190&lt;&gt;"",D190&gt;0),E190/D190,"")</f>
        <v/>
      </c>
      <c r="J190" s="9" t="str">
        <f aca="false">IF(AND(B190&lt;&gt;"",F190&gt;0),G190/F190,"")</f>
        <v/>
      </c>
      <c r="K190" s="19" t="str">
        <f aca="false">IF(OR(I190="",J190=""),"",IF(AND(I190&gt;=Settings!$B$6,J190&gt;=Settings!$B$7),"On target","Below target"))</f>
        <v/>
      </c>
      <c r="L190" s="19" t="str">
        <f aca="false">IF(B190="","",IF(OR(E190&gt;D190,G190&gt;F190,D190&lt;0,E190&lt;0,F190&lt;0,G190&lt;0),"Check numbers","OK"))</f>
        <v/>
      </c>
    </row>
    <row r="191" customFormat="false" ht="15" hidden="false" customHeight="false" outlineLevel="0" collapsed="false">
      <c r="A191" s="15"/>
      <c r="B191" s="16"/>
      <c r="C191" s="16"/>
      <c r="D191" s="20"/>
      <c r="E191" s="20"/>
      <c r="F191" s="20"/>
      <c r="G191" s="20"/>
      <c r="H191" s="10" t="str">
        <f aca="false">IF(B191="","",IFERROR(INDEX(Campaigns!$B$5:$B$24,MATCH(B191,Campaigns!$A$5:$A$24,0)),"ID not found"))</f>
        <v/>
      </c>
      <c r="I191" s="9" t="str">
        <f aca="false">IF(AND(B191&lt;&gt;"",D191&gt;0),E191/D191,"")</f>
        <v/>
      </c>
      <c r="J191" s="9" t="str">
        <f aca="false">IF(AND(B191&lt;&gt;"",F191&gt;0),G191/F191,"")</f>
        <v/>
      </c>
      <c r="K191" s="19" t="str">
        <f aca="false">IF(OR(I191="",J191=""),"",IF(AND(I191&gt;=Settings!$B$6,J191&gt;=Settings!$B$7),"On target","Below target"))</f>
        <v/>
      </c>
      <c r="L191" s="19" t="str">
        <f aca="false">IF(B191="","",IF(OR(E191&gt;D191,G191&gt;F191,D191&lt;0,E191&lt;0,F191&lt;0,G191&lt;0),"Check numbers","OK"))</f>
        <v/>
      </c>
    </row>
    <row r="192" customFormat="false" ht="15" hidden="false" customHeight="false" outlineLevel="0" collapsed="false">
      <c r="A192" s="15"/>
      <c r="B192" s="16"/>
      <c r="C192" s="16"/>
      <c r="D192" s="20"/>
      <c r="E192" s="20"/>
      <c r="F192" s="20"/>
      <c r="G192" s="20"/>
      <c r="H192" s="10" t="str">
        <f aca="false">IF(B192="","",IFERROR(INDEX(Campaigns!$B$5:$B$24,MATCH(B192,Campaigns!$A$5:$A$24,0)),"ID not found"))</f>
        <v/>
      </c>
      <c r="I192" s="9" t="str">
        <f aca="false">IF(AND(B192&lt;&gt;"",D192&gt;0),E192/D192,"")</f>
        <v/>
      </c>
      <c r="J192" s="9" t="str">
        <f aca="false">IF(AND(B192&lt;&gt;"",F192&gt;0),G192/F192,"")</f>
        <v/>
      </c>
      <c r="K192" s="19" t="str">
        <f aca="false">IF(OR(I192="",J192=""),"",IF(AND(I192&gt;=Settings!$B$6,J192&gt;=Settings!$B$7),"On target","Below target"))</f>
        <v/>
      </c>
      <c r="L192" s="19" t="str">
        <f aca="false">IF(B192="","",IF(OR(E192&gt;D192,G192&gt;F192,D192&lt;0,E192&lt;0,F192&lt;0,G192&lt;0),"Check numbers","OK"))</f>
        <v/>
      </c>
    </row>
    <row r="193" customFormat="false" ht="15" hidden="false" customHeight="false" outlineLevel="0" collapsed="false">
      <c r="A193" s="15"/>
      <c r="B193" s="16"/>
      <c r="C193" s="16"/>
      <c r="D193" s="20"/>
      <c r="E193" s="20"/>
      <c r="F193" s="20"/>
      <c r="G193" s="20"/>
      <c r="H193" s="10" t="str">
        <f aca="false">IF(B193="","",IFERROR(INDEX(Campaigns!$B$5:$B$24,MATCH(B193,Campaigns!$A$5:$A$24,0)),"ID not found"))</f>
        <v/>
      </c>
      <c r="I193" s="9" t="str">
        <f aca="false">IF(AND(B193&lt;&gt;"",D193&gt;0),E193/D193,"")</f>
        <v/>
      </c>
      <c r="J193" s="9" t="str">
        <f aca="false">IF(AND(B193&lt;&gt;"",F193&gt;0),G193/F193,"")</f>
        <v/>
      </c>
      <c r="K193" s="19" t="str">
        <f aca="false">IF(OR(I193="",J193=""),"",IF(AND(I193&gt;=Settings!$B$6,J193&gt;=Settings!$B$7),"On target","Below target"))</f>
        <v/>
      </c>
      <c r="L193" s="19" t="str">
        <f aca="false">IF(B193="","",IF(OR(E193&gt;D193,G193&gt;F193,D193&lt;0,E193&lt;0,F193&lt;0,G193&lt;0),"Check numbers","OK"))</f>
        <v/>
      </c>
    </row>
    <row r="194" customFormat="false" ht="15" hidden="false" customHeight="false" outlineLevel="0" collapsed="false">
      <c r="A194" s="15"/>
      <c r="B194" s="16"/>
      <c r="C194" s="16"/>
      <c r="D194" s="20"/>
      <c r="E194" s="20"/>
      <c r="F194" s="20"/>
      <c r="G194" s="20"/>
      <c r="H194" s="10" t="str">
        <f aca="false">IF(B194="","",IFERROR(INDEX(Campaigns!$B$5:$B$24,MATCH(B194,Campaigns!$A$5:$A$24,0)),"ID not found"))</f>
        <v/>
      </c>
      <c r="I194" s="9" t="str">
        <f aca="false">IF(AND(B194&lt;&gt;"",D194&gt;0),E194/D194,"")</f>
        <v/>
      </c>
      <c r="J194" s="9" t="str">
        <f aca="false">IF(AND(B194&lt;&gt;"",F194&gt;0),G194/F194,"")</f>
        <v/>
      </c>
      <c r="K194" s="19" t="str">
        <f aca="false">IF(OR(I194="",J194=""),"",IF(AND(I194&gt;=Settings!$B$6,J194&gt;=Settings!$B$7),"On target","Below target"))</f>
        <v/>
      </c>
      <c r="L194" s="19" t="str">
        <f aca="false">IF(B194="","",IF(OR(E194&gt;D194,G194&gt;F194,D194&lt;0,E194&lt;0,F194&lt;0,G194&lt;0),"Check numbers","OK"))</f>
        <v/>
      </c>
    </row>
    <row r="195" customFormat="false" ht="15" hidden="false" customHeight="false" outlineLevel="0" collapsed="false">
      <c r="A195" s="15"/>
      <c r="B195" s="16"/>
      <c r="C195" s="16"/>
      <c r="D195" s="20"/>
      <c r="E195" s="20"/>
      <c r="F195" s="20"/>
      <c r="G195" s="20"/>
      <c r="H195" s="10" t="str">
        <f aca="false">IF(B195="","",IFERROR(INDEX(Campaigns!$B$5:$B$24,MATCH(B195,Campaigns!$A$5:$A$24,0)),"ID not found"))</f>
        <v/>
      </c>
      <c r="I195" s="9" t="str">
        <f aca="false">IF(AND(B195&lt;&gt;"",D195&gt;0),E195/D195,"")</f>
        <v/>
      </c>
      <c r="J195" s="9" t="str">
        <f aca="false">IF(AND(B195&lt;&gt;"",F195&gt;0),G195/F195,"")</f>
        <v/>
      </c>
      <c r="K195" s="19" t="str">
        <f aca="false">IF(OR(I195="",J195=""),"",IF(AND(I195&gt;=Settings!$B$6,J195&gt;=Settings!$B$7),"On target","Below target"))</f>
        <v/>
      </c>
      <c r="L195" s="19" t="str">
        <f aca="false">IF(B195="","",IF(OR(E195&gt;D195,G195&gt;F195,D195&lt;0,E195&lt;0,F195&lt;0,G195&lt;0),"Check numbers","OK"))</f>
        <v/>
      </c>
    </row>
    <row r="196" customFormat="false" ht="15" hidden="false" customHeight="false" outlineLevel="0" collapsed="false">
      <c r="A196" s="15"/>
      <c r="B196" s="16"/>
      <c r="C196" s="16"/>
      <c r="D196" s="20"/>
      <c r="E196" s="20"/>
      <c r="F196" s="20"/>
      <c r="G196" s="20"/>
      <c r="H196" s="10" t="str">
        <f aca="false">IF(B196="","",IFERROR(INDEX(Campaigns!$B$5:$B$24,MATCH(B196,Campaigns!$A$5:$A$24,0)),"ID not found"))</f>
        <v/>
      </c>
      <c r="I196" s="9" t="str">
        <f aca="false">IF(AND(B196&lt;&gt;"",D196&gt;0),E196/D196,"")</f>
        <v/>
      </c>
      <c r="J196" s="9" t="str">
        <f aca="false">IF(AND(B196&lt;&gt;"",F196&gt;0),G196/F196,"")</f>
        <v/>
      </c>
      <c r="K196" s="19" t="str">
        <f aca="false">IF(OR(I196="",J196=""),"",IF(AND(I196&gt;=Settings!$B$6,J196&gt;=Settings!$B$7),"On target","Below target"))</f>
        <v/>
      </c>
      <c r="L196" s="19" t="str">
        <f aca="false">IF(B196="","",IF(OR(E196&gt;D196,G196&gt;F196,D196&lt;0,E196&lt;0,F196&lt;0,G196&lt;0),"Check numbers","OK"))</f>
        <v/>
      </c>
    </row>
    <row r="197" customFormat="false" ht="15" hidden="false" customHeight="false" outlineLevel="0" collapsed="false">
      <c r="A197" s="15"/>
      <c r="B197" s="16"/>
      <c r="C197" s="16"/>
      <c r="D197" s="20"/>
      <c r="E197" s="20"/>
      <c r="F197" s="20"/>
      <c r="G197" s="20"/>
      <c r="H197" s="10" t="str">
        <f aca="false">IF(B197="","",IFERROR(INDEX(Campaigns!$B$5:$B$24,MATCH(B197,Campaigns!$A$5:$A$24,0)),"ID not found"))</f>
        <v/>
      </c>
      <c r="I197" s="9" t="str">
        <f aca="false">IF(AND(B197&lt;&gt;"",D197&gt;0),E197/D197,"")</f>
        <v/>
      </c>
      <c r="J197" s="9" t="str">
        <f aca="false">IF(AND(B197&lt;&gt;"",F197&gt;0),G197/F197,"")</f>
        <v/>
      </c>
      <c r="K197" s="19" t="str">
        <f aca="false">IF(OR(I197="",J197=""),"",IF(AND(I197&gt;=Settings!$B$6,J197&gt;=Settings!$B$7),"On target","Below target"))</f>
        <v/>
      </c>
      <c r="L197" s="19" t="str">
        <f aca="false">IF(B197="","",IF(OR(E197&gt;D197,G197&gt;F197,D197&lt;0,E197&lt;0,F197&lt;0,G197&lt;0),"Check numbers","OK"))</f>
        <v/>
      </c>
    </row>
    <row r="198" customFormat="false" ht="15" hidden="false" customHeight="false" outlineLevel="0" collapsed="false">
      <c r="A198" s="15"/>
      <c r="B198" s="16"/>
      <c r="C198" s="16"/>
      <c r="D198" s="20"/>
      <c r="E198" s="20"/>
      <c r="F198" s="20"/>
      <c r="G198" s="20"/>
      <c r="H198" s="10" t="str">
        <f aca="false">IF(B198="","",IFERROR(INDEX(Campaigns!$B$5:$B$24,MATCH(B198,Campaigns!$A$5:$A$24,0)),"ID not found"))</f>
        <v/>
      </c>
      <c r="I198" s="9" t="str">
        <f aca="false">IF(AND(B198&lt;&gt;"",D198&gt;0),E198/D198,"")</f>
        <v/>
      </c>
      <c r="J198" s="9" t="str">
        <f aca="false">IF(AND(B198&lt;&gt;"",F198&gt;0),G198/F198,"")</f>
        <v/>
      </c>
      <c r="K198" s="19" t="str">
        <f aca="false">IF(OR(I198="",J198=""),"",IF(AND(I198&gt;=Settings!$B$6,J198&gt;=Settings!$B$7),"On target","Below target"))</f>
        <v/>
      </c>
      <c r="L198" s="19" t="str">
        <f aca="false">IF(B198="","",IF(OR(E198&gt;D198,G198&gt;F198,D198&lt;0,E198&lt;0,F198&lt;0,G198&lt;0),"Check numbers","OK"))</f>
        <v/>
      </c>
    </row>
    <row r="199" customFormat="false" ht="15" hidden="false" customHeight="false" outlineLevel="0" collapsed="false">
      <c r="A199" s="15"/>
      <c r="B199" s="16"/>
      <c r="C199" s="16"/>
      <c r="D199" s="20"/>
      <c r="E199" s="20"/>
      <c r="F199" s="20"/>
      <c r="G199" s="20"/>
      <c r="H199" s="10" t="str">
        <f aca="false">IF(B199="","",IFERROR(INDEX(Campaigns!$B$5:$B$24,MATCH(B199,Campaigns!$A$5:$A$24,0)),"ID not found"))</f>
        <v/>
      </c>
      <c r="I199" s="9" t="str">
        <f aca="false">IF(AND(B199&lt;&gt;"",D199&gt;0),E199/D199,"")</f>
        <v/>
      </c>
      <c r="J199" s="9" t="str">
        <f aca="false">IF(AND(B199&lt;&gt;"",F199&gt;0),G199/F199,"")</f>
        <v/>
      </c>
      <c r="K199" s="19" t="str">
        <f aca="false">IF(OR(I199="",J199=""),"",IF(AND(I199&gt;=Settings!$B$6,J199&gt;=Settings!$B$7),"On target","Below target"))</f>
        <v/>
      </c>
      <c r="L199" s="19" t="str">
        <f aca="false">IF(B199="","",IF(OR(E199&gt;D199,G199&gt;F199,D199&lt;0,E199&lt;0,F199&lt;0,G199&lt;0),"Check numbers","OK"))</f>
        <v/>
      </c>
    </row>
    <row r="200" customFormat="false" ht="15" hidden="false" customHeight="false" outlineLevel="0" collapsed="false">
      <c r="A200" s="15"/>
      <c r="B200" s="16"/>
      <c r="C200" s="16"/>
      <c r="D200" s="20"/>
      <c r="E200" s="20"/>
      <c r="F200" s="20"/>
      <c r="G200" s="20"/>
      <c r="H200" s="10" t="str">
        <f aca="false">IF(B200="","",IFERROR(INDEX(Campaigns!$B$5:$B$24,MATCH(B200,Campaigns!$A$5:$A$24,0)),"ID not found"))</f>
        <v/>
      </c>
      <c r="I200" s="9" t="str">
        <f aca="false">IF(AND(B200&lt;&gt;"",D200&gt;0),E200/D200,"")</f>
        <v/>
      </c>
      <c r="J200" s="9" t="str">
        <f aca="false">IF(AND(B200&lt;&gt;"",F200&gt;0),G200/F200,"")</f>
        <v/>
      </c>
      <c r="K200" s="19" t="str">
        <f aca="false">IF(OR(I200="",J200=""),"",IF(AND(I200&gt;=Settings!$B$6,J200&gt;=Settings!$B$7),"On target","Below target"))</f>
        <v/>
      </c>
      <c r="L200" s="19" t="str">
        <f aca="false">IF(B200="","",IF(OR(E200&gt;D200,G200&gt;F200,D200&lt;0,E200&lt;0,F200&lt;0,G200&lt;0),"Check numbers","OK"))</f>
        <v/>
      </c>
    </row>
    <row r="201" customFormat="false" ht="15" hidden="false" customHeight="false" outlineLevel="0" collapsed="false">
      <c r="A201" s="15"/>
      <c r="B201" s="16"/>
      <c r="C201" s="16"/>
      <c r="D201" s="20"/>
      <c r="E201" s="20"/>
      <c r="F201" s="20"/>
      <c r="G201" s="20"/>
      <c r="H201" s="10" t="str">
        <f aca="false">IF(B201="","",IFERROR(INDEX(Campaigns!$B$5:$B$24,MATCH(B201,Campaigns!$A$5:$A$24,0)),"ID not found"))</f>
        <v/>
      </c>
      <c r="I201" s="9" t="str">
        <f aca="false">IF(AND(B201&lt;&gt;"",D201&gt;0),E201/D201,"")</f>
        <v/>
      </c>
      <c r="J201" s="9" t="str">
        <f aca="false">IF(AND(B201&lt;&gt;"",F201&gt;0),G201/F201,"")</f>
        <v/>
      </c>
      <c r="K201" s="19" t="str">
        <f aca="false">IF(OR(I201="",J201=""),"",IF(AND(I201&gt;=Settings!$B$6,J201&gt;=Settings!$B$7),"On target","Below target"))</f>
        <v/>
      </c>
      <c r="L201" s="19" t="str">
        <f aca="false">IF(B201="","",IF(OR(E201&gt;D201,G201&gt;F201,D201&lt;0,E201&lt;0,F201&lt;0,G201&lt;0),"Check numbers","OK"))</f>
        <v/>
      </c>
    </row>
    <row r="202" customFormat="false" ht="15" hidden="false" customHeight="false" outlineLevel="0" collapsed="false">
      <c r="A202" s="15"/>
      <c r="B202" s="16"/>
      <c r="C202" s="16"/>
      <c r="D202" s="20"/>
      <c r="E202" s="20"/>
      <c r="F202" s="20"/>
      <c r="G202" s="20"/>
      <c r="H202" s="10" t="str">
        <f aca="false">IF(B202="","",IFERROR(INDEX(Campaigns!$B$5:$B$24,MATCH(B202,Campaigns!$A$5:$A$24,0)),"ID not found"))</f>
        <v/>
      </c>
      <c r="I202" s="9" t="str">
        <f aca="false">IF(AND(B202&lt;&gt;"",D202&gt;0),E202/D202,"")</f>
        <v/>
      </c>
      <c r="J202" s="9" t="str">
        <f aca="false">IF(AND(B202&lt;&gt;"",F202&gt;0),G202/F202,"")</f>
        <v/>
      </c>
      <c r="K202" s="19" t="str">
        <f aca="false">IF(OR(I202="",J202=""),"",IF(AND(I202&gt;=Settings!$B$6,J202&gt;=Settings!$B$7),"On target","Below target"))</f>
        <v/>
      </c>
      <c r="L202" s="19" t="str">
        <f aca="false">IF(B202="","",IF(OR(E202&gt;D202,G202&gt;F202,D202&lt;0,E202&lt;0,F202&lt;0,G202&lt;0),"Check numbers","OK"))</f>
        <v/>
      </c>
    </row>
    <row r="203" customFormat="false" ht="15" hidden="false" customHeight="false" outlineLevel="0" collapsed="false">
      <c r="A203" s="15"/>
      <c r="B203" s="16"/>
      <c r="C203" s="16"/>
      <c r="D203" s="20"/>
      <c r="E203" s="20"/>
      <c r="F203" s="20"/>
      <c r="G203" s="20"/>
      <c r="H203" s="10" t="str">
        <f aca="false">IF(B203="","",IFERROR(INDEX(Campaigns!$B$5:$B$24,MATCH(B203,Campaigns!$A$5:$A$24,0)),"ID not found"))</f>
        <v/>
      </c>
      <c r="I203" s="9" t="str">
        <f aca="false">IF(AND(B203&lt;&gt;"",D203&gt;0),E203/D203,"")</f>
        <v/>
      </c>
      <c r="J203" s="9" t="str">
        <f aca="false">IF(AND(B203&lt;&gt;"",F203&gt;0),G203/F203,"")</f>
        <v/>
      </c>
      <c r="K203" s="19" t="str">
        <f aca="false">IF(OR(I203="",J203=""),"",IF(AND(I203&gt;=Settings!$B$6,J203&gt;=Settings!$B$7),"On target","Below target"))</f>
        <v/>
      </c>
      <c r="L203" s="19" t="str">
        <f aca="false">IF(B203="","",IF(OR(E203&gt;D203,G203&gt;F203,D203&lt;0,E203&lt;0,F203&lt;0,G203&lt;0),"Check numbers","OK"))</f>
        <v/>
      </c>
    </row>
    <row r="204" customFormat="false" ht="15" hidden="false" customHeight="false" outlineLevel="0" collapsed="false">
      <c r="A204" s="15"/>
      <c r="B204" s="16"/>
      <c r="C204" s="16"/>
      <c r="D204" s="20"/>
      <c r="E204" s="20"/>
      <c r="F204" s="20"/>
      <c r="G204" s="20"/>
      <c r="H204" s="10" t="str">
        <f aca="false">IF(B204="","",IFERROR(INDEX(Campaigns!$B$5:$B$24,MATCH(B204,Campaigns!$A$5:$A$24,0)),"ID not found"))</f>
        <v/>
      </c>
      <c r="I204" s="9" t="str">
        <f aca="false">IF(AND(B204&lt;&gt;"",D204&gt;0),E204/D204,"")</f>
        <v/>
      </c>
      <c r="J204" s="9" t="str">
        <f aca="false">IF(AND(B204&lt;&gt;"",F204&gt;0),G204/F204,"")</f>
        <v/>
      </c>
      <c r="K204" s="19" t="str">
        <f aca="false">IF(OR(I204="",J204=""),"",IF(AND(I204&gt;=Settings!$B$6,J204&gt;=Settings!$B$7),"On target","Below target"))</f>
        <v/>
      </c>
      <c r="L204" s="19" t="str">
        <f aca="false">IF(B204="","",IF(OR(E204&gt;D204,G204&gt;F204,D204&lt;0,E204&lt;0,F204&lt;0,G204&lt;0),"Check numbers","OK"))</f>
        <v/>
      </c>
    </row>
    <row r="205" customFormat="false" ht="15" hidden="false" customHeight="false" outlineLevel="0" collapsed="false">
      <c r="A205" s="15"/>
      <c r="B205" s="16"/>
      <c r="C205" s="16"/>
      <c r="D205" s="20"/>
      <c r="E205" s="20"/>
      <c r="F205" s="20"/>
      <c r="G205" s="20"/>
      <c r="H205" s="10" t="str">
        <f aca="false">IF(B205="","",IFERROR(INDEX(Campaigns!$B$5:$B$24,MATCH(B205,Campaigns!$A$5:$A$24,0)),"ID not found"))</f>
        <v/>
      </c>
      <c r="I205" s="9" t="str">
        <f aca="false">IF(AND(B205&lt;&gt;"",D205&gt;0),E205/D205,"")</f>
        <v/>
      </c>
      <c r="J205" s="9" t="str">
        <f aca="false">IF(AND(B205&lt;&gt;"",F205&gt;0),G205/F205,"")</f>
        <v/>
      </c>
      <c r="K205" s="19" t="str">
        <f aca="false">IF(OR(I205="",J205=""),"",IF(AND(I205&gt;=Settings!$B$6,J205&gt;=Settings!$B$7),"On target","Below target"))</f>
        <v/>
      </c>
      <c r="L205" s="19" t="str">
        <f aca="false">IF(B205="","",IF(OR(E205&gt;D205,G205&gt;F205,D205&lt;0,E205&lt;0,F205&lt;0,G205&lt;0),"Check numbers","OK"))</f>
        <v/>
      </c>
    </row>
    <row r="206" customFormat="false" ht="15" hidden="false" customHeight="false" outlineLevel="0" collapsed="false">
      <c r="A206" s="15"/>
      <c r="B206" s="16"/>
      <c r="C206" s="16"/>
      <c r="D206" s="20"/>
      <c r="E206" s="20"/>
      <c r="F206" s="20"/>
      <c r="G206" s="20"/>
      <c r="H206" s="10" t="str">
        <f aca="false">IF(B206="","",IFERROR(INDEX(Campaigns!$B$5:$B$24,MATCH(B206,Campaigns!$A$5:$A$24,0)),"ID not found"))</f>
        <v/>
      </c>
      <c r="I206" s="9" t="str">
        <f aca="false">IF(AND(B206&lt;&gt;"",D206&gt;0),E206/D206,"")</f>
        <v/>
      </c>
      <c r="J206" s="9" t="str">
        <f aca="false">IF(AND(B206&lt;&gt;"",F206&gt;0),G206/F206,"")</f>
        <v/>
      </c>
      <c r="K206" s="19" t="str">
        <f aca="false">IF(OR(I206="",J206=""),"",IF(AND(I206&gt;=Settings!$B$6,J206&gt;=Settings!$B$7),"On target","Below target"))</f>
        <v/>
      </c>
      <c r="L206" s="19" t="str">
        <f aca="false">IF(B206="","",IF(OR(E206&gt;D206,G206&gt;F206,D206&lt;0,E206&lt;0,F206&lt;0,G206&lt;0),"Check numbers","OK"))</f>
        <v/>
      </c>
    </row>
    <row r="207" customFormat="false" ht="15" hidden="false" customHeight="false" outlineLevel="0" collapsed="false">
      <c r="A207" s="15"/>
      <c r="B207" s="16"/>
      <c r="C207" s="16"/>
      <c r="D207" s="20"/>
      <c r="E207" s="20"/>
      <c r="F207" s="20"/>
      <c r="G207" s="20"/>
      <c r="H207" s="10" t="str">
        <f aca="false">IF(B207="","",IFERROR(INDEX(Campaigns!$B$5:$B$24,MATCH(B207,Campaigns!$A$5:$A$24,0)),"ID not found"))</f>
        <v/>
      </c>
      <c r="I207" s="9" t="str">
        <f aca="false">IF(AND(B207&lt;&gt;"",D207&gt;0),E207/D207,"")</f>
        <v/>
      </c>
      <c r="J207" s="9" t="str">
        <f aca="false">IF(AND(B207&lt;&gt;"",F207&gt;0),G207/F207,"")</f>
        <v/>
      </c>
      <c r="K207" s="19" t="str">
        <f aca="false">IF(OR(I207="",J207=""),"",IF(AND(I207&gt;=Settings!$B$6,J207&gt;=Settings!$B$7),"On target","Below target"))</f>
        <v/>
      </c>
      <c r="L207" s="19" t="str">
        <f aca="false">IF(B207="","",IF(OR(E207&gt;D207,G207&gt;F207,D207&lt;0,E207&lt;0,F207&lt;0,G207&lt;0),"Check numbers","OK"))</f>
        <v/>
      </c>
    </row>
    <row r="208" customFormat="false" ht="15" hidden="false" customHeight="false" outlineLevel="0" collapsed="false">
      <c r="A208" s="15"/>
      <c r="B208" s="16"/>
      <c r="C208" s="16"/>
      <c r="D208" s="20"/>
      <c r="E208" s="20"/>
      <c r="F208" s="20"/>
      <c r="G208" s="20"/>
      <c r="H208" s="10" t="str">
        <f aca="false">IF(B208="","",IFERROR(INDEX(Campaigns!$B$5:$B$24,MATCH(B208,Campaigns!$A$5:$A$24,0)),"ID not found"))</f>
        <v/>
      </c>
      <c r="I208" s="9" t="str">
        <f aca="false">IF(AND(B208&lt;&gt;"",D208&gt;0),E208/D208,"")</f>
        <v/>
      </c>
      <c r="J208" s="9" t="str">
        <f aca="false">IF(AND(B208&lt;&gt;"",F208&gt;0),G208/F208,"")</f>
        <v/>
      </c>
      <c r="K208" s="19" t="str">
        <f aca="false">IF(OR(I208="",J208=""),"",IF(AND(I208&gt;=Settings!$B$6,J208&gt;=Settings!$B$7),"On target","Below target"))</f>
        <v/>
      </c>
      <c r="L208" s="19" t="str">
        <f aca="false">IF(B208="","",IF(OR(E208&gt;D208,G208&gt;F208,D208&lt;0,E208&lt;0,F208&lt;0,G208&lt;0),"Check numbers","OK"))</f>
        <v/>
      </c>
    </row>
    <row r="209" customFormat="false" ht="15" hidden="false" customHeight="false" outlineLevel="0" collapsed="false">
      <c r="A209" s="15"/>
      <c r="B209" s="16"/>
      <c r="C209" s="16"/>
      <c r="D209" s="20"/>
      <c r="E209" s="20"/>
      <c r="F209" s="20"/>
      <c r="G209" s="20"/>
      <c r="H209" s="10" t="str">
        <f aca="false">IF(B209="","",IFERROR(INDEX(Campaigns!$B$5:$B$24,MATCH(B209,Campaigns!$A$5:$A$24,0)),"ID not found"))</f>
        <v/>
      </c>
      <c r="I209" s="9" t="str">
        <f aca="false">IF(AND(B209&lt;&gt;"",D209&gt;0),E209/D209,"")</f>
        <v/>
      </c>
      <c r="J209" s="9" t="str">
        <f aca="false">IF(AND(B209&lt;&gt;"",F209&gt;0),G209/F209,"")</f>
        <v/>
      </c>
      <c r="K209" s="19" t="str">
        <f aca="false">IF(OR(I209="",J209=""),"",IF(AND(I209&gt;=Settings!$B$6,J209&gt;=Settings!$B$7),"On target","Below target"))</f>
        <v/>
      </c>
      <c r="L209" s="19" t="str">
        <f aca="false">IF(B209="","",IF(OR(E209&gt;D209,G209&gt;F209,D209&lt;0,E209&lt;0,F209&lt;0,G209&lt;0),"Check numbers","OK"))</f>
        <v/>
      </c>
    </row>
    <row r="210" customFormat="false" ht="15" hidden="false" customHeight="false" outlineLevel="0" collapsed="false">
      <c r="A210" s="15"/>
      <c r="B210" s="16"/>
      <c r="C210" s="16"/>
      <c r="D210" s="20"/>
      <c r="E210" s="20"/>
      <c r="F210" s="20"/>
      <c r="G210" s="20"/>
      <c r="H210" s="10" t="str">
        <f aca="false">IF(B210="","",IFERROR(INDEX(Campaigns!$B$5:$B$24,MATCH(B210,Campaigns!$A$5:$A$24,0)),"ID not found"))</f>
        <v/>
      </c>
      <c r="I210" s="9" t="str">
        <f aca="false">IF(AND(B210&lt;&gt;"",D210&gt;0),E210/D210,"")</f>
        <v/>
      </c>
      <c r="J210" s="9" t="str">
        <f aca="false">IF(AND(B210&lt;&gt;"",F210&gt;0),G210/F210,"")</f>
        <v/>
      </c>
      <c r="K210" s="19" t="str">
        <f aca="false">IF(OR(I210="",J210=""),"",IF(AND(I210&gt;=Settings!$B$6,J210&gt;=Settings!$B$7),"On target","Below target"))</f>
        <v/>
      </c>
      <c r="L210" s="19" t="str">
        <f aca="false">IF(B210="","",IF(OR(E210&gt;D210,G210&gt;F210,D210&lt;0,E210&lt;0,F210&lt;0,G210&lt;0),"Check numbers","OK"))</f>
        <v/>
      </c>
    </row>
    <row r="211" customFormat="false" ht="15" hidden="false" customHeight="false" outlineLevel="0" collapsed="false">
      <c r="A211" s="15"/>
      <c r="B211" s="16"/>
      <c r="C211" s="16"/>
      <c r="D211" s="20"/>
      <c r="E211" s="20"/>
      <c r="F211" s="20"/>
      <c r="G211" s="20"/>
      <c r="H211" s="10" t="str">
        <f aca="false">IF(B211="","",IFERROR(INDEX(Campaigns!$B$5:$B$24,MATCH(B211,Campaigns!$A$5:$A$24,0)),"ID not found"))</f>
        <v/>
      </c>
      <c r="I211" s="9" t="str">
        <f aca="false">IF(AND(B211&lt;&gt;"",D211&gt;0),E211/D211,"")</f>
        <v/>
      </c>
      <c r="J211" s="9" t="str">
        <f aca="false">IF(AND(B211&lt;&gt;"",F211&gt;0),G211/F211,"")</f>
        <v/>
      </c>
      <c r="K211" s="19" t="str">
        <f aca="false">IF(OR(I211="",J211=""),"",IF(AND(I211&gt;=Settings!$B$6,J211&gt;=Settings!$B$7),"On target","Below target"))</f>
        <v/>
      </c>
      <c r="L211" s="19" t="str">
        <f aca="false">IF(B211="","",IF(OR(E211&gt;D211,G211&gt;F211,D211&lt;0,E211&lt;0,F211&lt;0,G211&lt;0),"Check numbers","OK"))</f>
        <v/>
      </c>
    </row>
    <row r="212" customFormat="false" ht="15" hidden="false" customHeight="false" outlineLevel="0" collapsed="false">
      <c r="A212" s="15"/>
      <c r="B212" s="16"/>
      <c r="C212" s="16"/>
      <c r="D212" s="20"/>
      <c r="E212" s="20"/>
      <c r="F212" s="20"/>
      <c r="G212" s="20"/>
      <c r="H212" s="10" t="str">
        <f aca="false">IF(B212="","",IFERROR(INDEX(Campaigns!$B$5:$B$24,MATCH(B212,Campaigns!$A$5:$A$24,0)),"ID not found"))</f>
        <v/>
      </c>
      <c r="I212" s="9" t="str">
        <f aca="false">IF(AND(B212&lt;&gt;"",D212&gt;0),E212/D212,"")</f>
        <v/>
      </c>
      <c r="J212" s="9" t="str">
        <f aca="false">IF(AND(B212&lt;&gt;"",F212&gt;0),G212/F212,"")</f>
        <v/>
      </c>
      <c r="K212" s="19" t="str">
        <f aca="false">IF(OR(I212="",J212=""),"",IF(AND(I212&gt;=Settings!$B$6,J212&gt;=Settings!$B$7),"On target","Below target"))</f>
        <v/>
      </c>
      <c r="L212" s="19" t="str">
        <f aca="false">IF(B212="","",IF(OR(E212&gt;D212,G212&gt;F212,D212&lt;0,E212&lt;0,F212&lt;0,G212&lt;0),"Check numbers","OK"))</f>
        <v/>
      </c>
    </row>
    <row r="213" customFormat="false" ht="15" hidden="false" customHeight="false" outlineLevel="0" collapsed="false">
      <c r="A213" s="15"/>
      <c r="B213" s="16"/>
      <c r="C213" s="16"/>
      <c r="D213" s="20"/>
      <c r="E213" s="20"/>
      <c r="F213" s="20"/>
      <c r="G213" s="20"/>
      <c r="H213" s="10" t="str">
        <f aca="false">IF(B213="","",IFERROR(INDEX(Campaigns!$B$5:$B$24,MATCH(B213,Campaigns!$A$5:$A$24,0)),"ID not found"))</f>
        <v/>
      </c>
      <c r="I213" s="9" t="str">
        <f aca="false">IF(AND(B213&lt;&gt;"",D213&gt;0),E213/D213,"")</f>
        <v/>
      </c>
      <c r="J213" s="9" t="str">
        <f aca="false">IF(AND(B213&lt;&gt;"",F213&gt;0),G213/F213,"")</f>
        <v/>
      </c>
      <c r="K213" s="19" t="str">
        <f aca="false">IF(OR(I213="",J213=""),"",IF(AND(I213&gt;=Settings!$B$6,J213&gt;=Settings!$B$7),"On target","Below target"))</f>
        <v/>
      </c>
      <c r="L213" s="19" t="str">
        <f aca="false">IF(B213="","",IF(OR(E213&gt;D213,G213&gt;F213,D213&lt;0,E213&lt;0,F213&lt;0,G213&lt;0),"Check numbers","OK"))</f>
        <v/>
      </c>
    </row>
    <row r="214" customFormat="false" ht="15" hidden="false" customHeight="false" outlineLevel="0" collapsed="false">
      <c r="A214" s="15"/>
      <c r="B214" s="16"/>
      <c r="C214" s="16"/>
      <c r="D214" s="20"/>
      <c r="E214" s="20"/>
      <c r="F214" s="20"/>
      <c r="G214" s="20"/>
      <c r="H214" s="10" t="str">
        <f aca="false">IF(B214="","",IFERROR(INDEX(Campaigns!$B$5:$B$24,MATCH(B214,Campaigns!$A$5:$A$24,0)),"ID not found"))</f>
        <v/>
      </c>
      <c r="I214" s="9" t="str">
        <f aca="false">IF(AND(B214&lt;&gt;"",D214&gt;0),E214/D214,"")</f>
        <v/>
      </c>
      <c r="J214" s="9" t="str">
        <f aca="false">IF(AND(B214&lt;&gt;"",F214&gt;0),G214/F214,"")</f>
        <v/>
      </c>
      <c r="K214" s="19" t="str">
        <f aca="false">IF(OR(I214="",J214=""),"",IF(AND(I214&gt;=Settings!$B$6,J214&gt;=Settings!$B$7),"On target","Below target"))</f>
        <v/>
      </c>
      <c r="L214" s="19" t="str">
        <f aca="false">IF(B214="","",IF(OR(E214&gt;D214,G214&gt;F214,D214&lt;0,E214&lt;0,F214&lt;0,G214&lt;0),"Check numbers","OK"))</f>
        <v/>
      </c>
    </row>
    <row r="215" customFormat="false" ht="15" hidden="false" customHeight="false" outlineLevel="0" collapsed="false">
      <c r="A215" s="15"/>
      <c r="B215" s="16"/>
      <c r="C215" s="16"/>
      <c r="D215" s="20"/>
      <c r="E215" s="20"/>
      <c r="F215" s="20"/>
      <c r="G215" s="20"/>
      <c r="H215" s="10" t="str">
        <f aca="false">IF(B215="","",IFERROR(INDEX(Campaigns!$B$5:$B$24,MATCH(B215,Campaigns!$A$5:$A$24,0)),"ID not found"))</f>
        <v/>
      </c>
      <c r="I215" s="9" t="str">
        <f aca="false">IF(AND(B215&lt;&gt;"",D215&gt;0),E215/D215,"")</f>
        <v/>
      </c>
      <c r="J215" s="9" t="str">
        <f aca="false">IF(AND(B215&lt;&gt;"",F215&gt;0),G215/F215,"")</f>
        <v/>
      </c>
      <c r="K215" s="19" t="str">
        <f aca="false">IF(OR(I215="",J215=""),"",IF(AND(I215&gt;=Settings!$B$6,J215&gt;=Settings!$B$7),"On target","Below target"))</f>
        <v/>
      </c>
      <c r="L215" s="19" t="str">
        <f aca="false">IF(B215="","",IF(OR(E215&gt;D215,G215&gt;F215,D215&lt;0,E215&lt;0,F215&lt;0,G215&lt;0),"Check numbers","OK"))</f>
        <v/>
      </c>
    </row>
    <row r="216" customFormat="false" ht="15" hidden="false" customHeight="false" outlineLevel="0" collapsed="false">
      <c r="A216" s="15"/>
      <c r="B216" s="16"/>
      <c r="C216" s="16"/>
      <c r="D216" s="20"/>
      <c r="E216" s="20"/>
      <c r="F216" s="20"/>
      <c r="G216" s="20"/>
      <c r="H216" s="10" t="str">
        <f aca="false">IF(B216="","",IFERROR(INDEX(Campaigns!$B$5:$B$24,MATCH(B216,Campaigns!$A$5:$A$24,0)),"ID not found"))</f>
        <v/>
      </c>
      <c r="I216" s="9" t="str">
        <f aca="false">IF(AND(B216&lt;&gt;"",D216&gt;0),E216/D216,"")</f>
        <v/>
      </c>
      <c r="J216" s="9" t="str">
        <f aca="false">IF(AND(B216&lt;&gt;"",F216&gt;0),G216/F216,"")</f>
        <v/>
      </c>
      <c r="K216" s="19" t="str">
        <f aca="false">IF(OR(I216="",J216=""),"",IF(AND(I216&gt;=Settings!$B$6,J216&gt;=Settings!$B$7),"On target","Below target"))</f>
        <v/>
      </c>
      <c r="L216" s="19" t="str">
        <f aca="false">IF(B216="","",IF(OR(E216&gt;D216,G216&gt;F216,D216&lt;0,E216&lt;0,F216&lt;0,G216&lt;0),"Check numbers","OK"))</f>
        <v/>
      </c>
    </row>
    <row r="217" customFormat="false" ht="15" hidden="false" customHeight="false" outlineLevel="0" collapsed="false">
      <c r="A217" s="15"/>
      <c r="B217" s="16"/>
      <c r="C217" s="16"/>
      <c r="D217" s="20"/>
      <c r="E217" s="20"/>
      <c r="F217" s="20"/>
      <c r="G217" s="20"/>
      <c r="H217" s="10" t="str">
        <f aca="false">IF(B217="","",IFERROR(INDEX(Campaigns!$B$5:$B$24,MATCH(B217,Campaigns!$A$5:$A$24,0)),"ID not found"))</f>
        <v/>
      </c>
      <c r="I217" s="9" t="str">
        <f aca="false">IF(AND(B217&lt;&gt;"",D217&gt;0),E217/D217,"")</f>
        <v/>
      </c>
      <c r="J217" s="9" t="str">
        <f aca="false">IF(AND(B217&lt;&gt;"",F217&gt;0),G217/F217,"")</f>
        <v/>
      </c>
      <c r="K217" s="19" t="str">
        <f aca="false">IF(OR(I217="",J217=""),"",IF(AND(I217&gt;=Settings!$B$6,J217&gt;=Settings!$B$7),"On target","Below target"))</f>
        <v/>
      </c>
      <c r="L217" s="19" t="str">
        <f aca="false">IF(B217="","",IF(OR(E217&gt;D217,G217&gt;F217,D217&lt;0,E217&lt;0,F217&lt;0,G217&lt;0),"Check numbers","OK"))</f>
        <v/>
      </c>
    </row>
    <row r="218" customFormat="false" ht="15" hidden="false" customHeight="false" outlineLevel="0" collapsed="false">
      <c r="A218" s="15"/>
      <c r="B218" s="16"/>
      <c r="C218" s="16"/>
      <c r="D218" s="20"/>
      <c r="E218" s="20"/>
      <c r="F218" s="20"/>
      <c r="G218" s="20"/>
      <c r="H218" s="10" t="str">
        <f aca="false">IF(B218="","",IFERROR(INDEX(Campaigns!$B$5:$B$24,MATCH(B218,Campaigns!$A$5:$A$24,0)),"ID not found"))</f>
        <v/>
      </c>
      <c r="I218" s="9" t="str">
        <f aca="false">IF(AND(B218&lt;&gt;"",D218&gt;0),E218/D218,"")</f>
        <v/>
      </c>
      <c r="J218" s="9" t="str">
        <f aca="false">IF(AND(B218&lt;&gt;"",F218&gt;0),G218/F218,"")</f>
        <v/>
      </c>
      <c r="K218" s="19" t="str">
        <f aca="false">IF(OR(I218="",J218=""),"",IF(AND(I218&gt;=Settings!$B$6,J218&gt;=Settings!$B$7),"On target","Below target"))</f>
        <v/>
      </c>
      <c r="L218" s="19" t="str">
        <f aca="false">IF(B218="","",IF(OR(E218&gt;D218,G218&gt;F218,D218&lt;0,E218&lt;0,F218&lt;0,G218&lt;0),"Check numbers","OK"))</f>
        <v/>
      </c>
    </row>
    <row r="219" customFormat="false" ht="15" hidden="false" customHeight="false" outlineLevel="0" collapsed="false">
      <c r="A219" s="15"/>
      <c r="B219" s="16"/>
      <c r="C219" s="16"/>
      <c r="D219" s="20"/>
      <c r="E219" s="20"/>
      <c r="F219" s="20"/>
      <c r="G219" s="20"/>
      <c r="H219" s="10" t="str">
        <f aca="false">IF(B219="","",IFERROR(INDEX(Campaigns!$B$5:$B$24,MATCH(B219,Campaigns!$A$5:$A$24,0)),"ID not found"))</f>
        <v/>
      </c>
      <c r="I219" s="9" t="str">
        <f aca="false">IF(AND(B219&lt;&gt;"",D219&gt;0),E219/D219,"")</f>
        <v/>
      </c>
      <c r="J219" s="9" t="str">
        <f aca="false">IF(AND(B219&lt;&gt;"",F219&gt;0),G219/F219,"")</f>
        <v/>
      </c>
      <c r="K219" s="19" t="str">
        <f aca="false">IF(OR(I219="",J219=""),"",IF(AND(I219&gt;=Settings!$B$6,J219&gt;=Settings!$B$7),"On target","Below target"))</f>
        <v/>
      </c>
      <c r="L219" s="19" t="str">
        <f aca="false">IF(B219="","",IF(OR(E219&gt;D219,G219&gt;F219,D219&lt;0,E219&lt;0,F219&lt;0,G219&lt;0),"Check numbers","OK"))</f>
        <v/>
      </c>
    </row>
    <row r="220" customFormat="false" ht="15" hidden="false" customHeight="false" outlineLevel="0" collapsed="false">
      <c r="A220" s="15"/>
      <c r="B220" s="16"/>
      <c r="C220" s="16"/>
      <c r="D220" s="20"/>
      <c r="E220" s="20"/>
      <c r="F220" s="20"/>
      <c r="G220" s="20"/>
      <c r="H220" s="10" t="str">
        <f aca="false">IF(B220="","",IFERROR(INDEX(Campaigns!$B$5:$B$24,MATCH(B220,Campaigns!$A$5:$A$24,0)),"ID not found"))</f>
        <v/>
      </c>
      <c r="I220" s="9" t="str">
        <f aca="false">IF(AND(B220&lt;&gt;"",D220&gt;0),E220/D220,"")</f>
        <v/>
      </c>
      <c r="J220" s="9" t="str">
        <f aca="false">IF(AND(B220&lt;&gt;"",F220&gt;0),G220/F220,"")</f>
        <v/>
      </c>
      <c r="K220" s="19" t="str">
        <f aca="false">IF(OR(I220="",J220=""),"",IF(AND(I220&gt;=Settings!$B$6,J220&gt;=Settings!$B$7),"On target","Below target"))</f>
        <v/>
      </c>
      <c r="L220" s="19" t="str">
        <f aca="false">IF(B220="","",IF(OR(E220&gt;D220,G220&gt;F220,D220&lt;0,E220&lt;0,F220&lt;0,G220&lt;0),"Check numbers","OK"))</f>
        <v/>
      </c>
    </row>
    <row r="221" customFormat="false" ht="15" hidden="false" customHeight="false" outlineLevel="0" collapsed="false">
      <c r="A221" s="15"/>
      <c r="B221" s="16"/>
      <c r="C221" s="16"/>
      <c r="D221" s="20"/>
      <c r="E221" s="20"/>
      <c r="F221" s="20"/>
      <c r="G221" s="20"/>
      <c r="H221" s="10" t="str">
        <f aca="false">IF(B221="","",IFERROR(INDEX(Campaigns!$B$5:$B$24,MATCH(B221,Campaigns!$A$5:$A$24,0)),"ID not found"))</f>
        <v/>
      </c>
      <c r="I221" s="9" t="str">
        <f aca="false">IF(AND(B221&lt;&gt;"",D221&gt;0),E221/D221,"")</f>
        <v/>
      </c>
      <c r="J221" s="9" t="str">
        <f aca="false">IF(AND(B221&lt;&gt;"",F221&gt;0),G221/F221,"")</f>
        <v/>
      </c>
      <c r="K221" s="19" t="str">
        <f aca="false">IF(OR(I221="",J221=""),"",IF(AND(I221&gt;=Settings!$B$6,J221&gt;=Settings!$B$7),"On target","Below target"))</f>
        <v/>
      </c>
      <c r="L221" s="19" t="str">
        <f aca="false">IF(B221="","",IF(OR(E221&gt;D221,G221&gt;F221,D221&lt;0,E221&lt;0,F221&lt;0,G221&lt;0),"Check numbers","OK"))</f>
        <v/>
      </c>
    </row>
    <row r="222" customFormat="false" ht="15" hidden="false" customHeight="false" outlineLevel="0" collapsed="false">
      <c r="A222" s="15"/>
      <c r="B222" s="16"/>
      <c r="C222" s="16"/>
      <c r="D222" s="20"/>
      <c r="E222" s="20"/>
      <c r="F222" s="20"/>
      <c r="G222" s="20"/>
      <c r="H222" s="10" t="str">
        <f aca="false">IF(B222="","",IFERROR(INDEX(Campaigns!$B$5:$B$24,MATCH(B222,Campaigns!$A$5:$A$24,0)),"ID not found"))</f>
        <v/>
      </c>
      <c r="I222" s="9" t="str">
        <f aca="false">IF(AND(B222&lt;&gt;"",D222&gt;0),E222/D222,"")</f>
        <v/>
      </c>
      <c r="J222" s="9" t="str">
        <f aca="false">IF(AND(B222&lt;&gt;"",F222&gt;0),G222/F222,"")</f>
        <v/>
      </c>
      <c r="K222" s="19" t="str">
        <f aca="false">IF(OR(I222="",J222=""),"",IF(AND(I222&gt;=Settings!$B$6,J222&gt;=Settings!$B$7),"On target","Below target"))</f>
        <v/>
      </c>
      <c r="L222" s="19" t="str">
        <f aca="false">IF(B222="","",IF(OR(E222&gt;D222,G222&gt;F222,D222&lt;0,E222&lt;0,F222&lt;0,G222&lt;0),"Check numbers","OK"))</f>
        <v/>
      </c>
    </row>
    <row r="223" customFormat="false" ht="15" hidden="false" customHeight="false" outlineLevel="0" collapsed="false">
      <c r="A223" s="15"/>
      <c r="B223" s="16"/>
      <c r="C223" s="16"/>
      <c r="D223" s="20"/>
      <c r="E223" s="20"/>
      <c r="F223" s="20"/>
      <c r="G223" s="20"/>
      <c r="H223" s="10" t="str">
        <f aca="false">IF(B223="","",IFERROR(INDEX(Campaigns!$B$5:$B$24,MATCH(B223,Campaigns!$A$5:$A$24,0)),"ID not found"))</f>
        <v/>
      </c>
      <c r="I223" s="9" t="str">
        <f aca="false">IF(AND(B223&lt;&gt;"",D223&gt;0),E223/D223,"")</f>
        <v/>
      </c>
      <c r="J223" s="9" t="str">
        <f aca="false">IF(AND(B223&lt;&gt;"",F223&gt;0),G223/F223,"")</f>
        <v/>
      </c>
      <c r="K223" s="19" t="str">
        <f aca="false">IF(OR(I223="",J223=""),"",IF(AND(I223&gt;=Settings!$B$6,J223&gt;=Settings!$B$7),"On target","Below target"))</f>
        <v/>
      </c>
      <c r="L223" s="19" t="str">
        <f aca="false">IF(B223="","",IF(OR(E223&gt;D223,G223&gt;F223,D223&lt;0,E223&lt;0,F223&lt;0,G223&lt;0),"Check numbers","OK"))</f>
        <v/>
      </c>
    </row>
    <row r="224" customFormat="false" ht="15" hidden="false" customHeight="false" outlineLevel="0" collapsed="false">
      <c r="A224" s="15"/>
      <c r="B224" s="16"/>
      <c r="C224" s="16"/>
      <c r="D224" s="20"/>
      <c r="E224" s="20"/>
      <c r="F224" s="20"/>
      <c r="G224" s="20"/>
      <c r="H224" s="10" t="str">
        <f aca="false">IF(B224="","",IFERROR(INDEX(Campaigns!$B$5:$B$24,MATCH(B224,Campaigns!$A$5:$A$24,0)),"ID not found"))</f>
        <v/>
      </c>
      <c r="I224" s="9" t="str">
        <f aca="false">IF(AND(B224&lt;&gt;"",D224&gt;0),E224/D224,"")</f>
        <v/>
      </c>
      <c r="J224" s="9" t="str">
        <f aca="false">IF(AND(B224&lt;&gt;"",F224&gt;0),G224/F224,"")</f>
        <v/>
      </c>
      <c r="K224" s="19" t="str">
        <f aca="false">IF(OR(I224="",J224=""),"",IF(AND(I224&gt;=Settings!$B$6,J224&gt;=Settings!$B$7),"On target","Below target"))</f>
        <v/>
      </c>
      <c r="L224" s="19" t="str">
        <f aca="false">IF(B224="","",IF(OR(E224&gt;D224,G224&gt;F224,D224&lt;0,E224&lt;0,F224&lt;0,G224&lt;0),"Check numbers","OK"))</f>
        <v/>
      </c>
    </row>
    <row r="225" customFormat="false" ht="15" hidden="false" customHeight="false" outlineLevel="0" collapsed="false">
      <c r="A225" s="15"/>
      <c r="B225" s="16"/>
      <c r="C225" s="16"/>
      <c r="D225" s="20"/>
      <c r="E225" s="20"/>
      <c r="F225" s="20"/>
      <c r="G225" s="20"/>
      <c r="H225" s="10" t="str">
        <f aca="false">IF(B225="","",IFERROR(INDEX(Campaigns!$B$5:$B$24,MATCH(B225,Campaigns!$A$5:$A$24,0)),"ID not found"))</f>
        <v/>
      </c>
      <c r="I225" s="9" t="str">
        <f aca="false">IF(AND(B225&lt;&gt;"",D225&gt;0),E225/D225,"")</f>
        <v/>
      </c>
      <c r="J225" s="9" t="str">
        <f aca="false">IF(AND(B225&lt;&gt;"",F225&gt;0),G225/F225,"")</f>
        <v/>
      </c>
      <c r="K225" s="19" t="str">
        <f aca="false">IF(OR(I225="",J225=""),"",IF(AND(I225&gt;=Settings!$B$6,J225&gt;=Settings!$B$7),"On target","Below target"))</f>
        <v/>
      </c>
      <c r="L225" s="19" t="str">
        <f aca="false">IF(B225="","",IF(OR(E225&gt;D225,G225&gt;F225,D225&lt;0,E225&lt;0,F225&lt;0,G225&lt;0),"Check numbers","OK"))</f>
        <v/>
      </c>
    </row>
    <row r="226" customFormat="false" ht="15" hidden="false" customHeight="false" outlineLevel="0" collapsed="false">
      <c r="A226" s="15"/>
      <c r="B226" s="16"/>
      <c r="C226" s="16"/>
      <c r="D226" s="20"/>
      <c r="E226" s="20"/>
      <c r="F226" s="20"/>
      <c r="G226" s="20"/>
      <c r="H226" s="10" t="str">
        <f aca="false">IF(B226="","",IFERROR(INDEX(Campaigns!$B$5:$B$24,MATCH(B226,Campaigns!$A$5:$A$24,0)),"ID not found"))</f>
        <v/>
      </c>
      <c r="I226" s="9" t="str">
        <f aca="false">IF(AND(B226&lt;&gt;"",D226&gt;0),E226/D226,"")</f>
        <v/>
      </c>
      <c r="J226" s="9" t="str">
        <f aca="false">IF(AND(B226&lt;&gt;"",F226&gt;0),G226/F226,"")</f>
        <v/>
      </c>
      <c r="K226" s="19" t="str">
        <f aca="false">IF(OR(I226="",J226=""),"",IF(AND(I226&gt;=Settings!$B$6,J226&gt;=Settings!$B$7),"On target","Below target"))</f>
        <v/>
      </c>
      <c r="L226" s="19" t="str">
        <f aca="false">IF(B226="","",IF(OR(E226&gt;D226,G226&gt;F226,D226&lt;0,E226&lt;0,F226&lt;0,G226&lt;0),"Check numbers","OK"))</f>
        <v/>
      </c>
    </row>
    <row r="227" customFormat="false" ht="15" hidden="false" customHeight="false" outlineLevel="0" collapsed="false">
      <c r="A227" s="15"/>
      <c r="B227" s="16"/>
      <c r="C227" s="16"/>
      <c r="D227" s="20"/>
      <c r="E227" s="20"/>
      <c r="F227" s="20"/>
      <c r="G227" s="20"/>
      <c r="H227" s="10" t="str">
        <f aca="false">IF(B227="","",IFERROR(INDEX(Campaigns!$B$5:$B$24,MATCH(B227,Campaigns!$A$5:$A$24,0)),"ID not found"))</f>
        <v/>
      </c>
      <c r="I227" s="9" t="str">
        <f aca="false">IF(AND(B227&lt;&gt;"",D227&gt;0),E227/D227,"")</f>
        <v/>
      </c>
      <c r="J227" s="9" t="str">
        <f aca="false">IF(AND(B227&lt;&gt;"",F227&gt;0),G227/F227,"")</f>
        <v/>
      </c>
      <c r="K227" s="19" t="str">
        <f aca="false">IF(OR(I227="",J227=""),"",IF(AND(I227&gt;=Settings!$B$6,J227&gt;=Settings!$B$7),"On target","Below target"))</f>
        <v/>
      </c>
      <c r="L227" s="19" t="str">
        <f aca="false">IF(B227="","",IF(OR(E227&gt;D227,G227&gt;F227,D227&lt;0,E227&lt;0,F227&lt;0,G227&lt;0),"Check numbers","OK"))</f>
        <v/>
      </c>
    </row>
    <row r="228" customFormat="false" ht="15" hidden="false" customHeight="false" outlineLevel="0" collapsed="false">
      <c r="A228" s="15"/>
      <c r="B228" s="16"/>
      <c r="C228" s="16"/>
      <c r="D228" s="20"/>
      <c r="E228" s="20"/>
      <c r="F228" s="20"/>
      <c r="G228" s="20"/>
      <c r="H228" s="10" t="str">
        <f aca="false">IF(B228="","",IFERROR(INDEX(Campaigns!$B$5:$B$24,MATCH(B228,Campaigns!$A$5:$A$24,0)),"ID not found"))</f>
        <v/>
      </c>
      <c r="I228" s="9" t="str">
        <f aca="false">IF(AND(B228&lt;&gt;"",D228&gt;0),E228/D228,"")</f>
        <v/>
      </c>
      <c r="J228" s="9" t="str">
        <f aca="false">IF(AND(B228&lt;&gt;"",F228&gt;0),G228/F228,"")</f>
        <v/>
      </c>
      <c r="K228" s="19" t="str">
        <f aca="false">IF(OR(I228="",J228=""),"",IF(AND(I228&gt;=Settings!$B$6,J228&gt;=Settings!$B$7),"On target","Below target"))</f>
        <v/>
      </c>
      <c r="L228" s="19" t="str">
        <f aca="false">IF(B228="","",IF(OR(E228&gt;D228,G228&gt;F228,D228&lt;0,E228&lt;0,F228&lt;0,G228&lt;0),"Check numbers","OK"))</f>
        <v/>
      </c>
    </row>
    <row r="229" customFormat="false" ht="15" hidden="false" customHeight="false" outlineLevel="0" collapsed="false">
      <c r="A229" s="15"/>
      <c r="B229" s="16"/>
      <c r="C229" s="16"/>
      <c r="D229" s="20"/>
      <c r="E229" s="20"/>
      <c r="F229" s="20"/>
      <c r="G229" s="20"/>
      <c r="H229" s="10" t="str">
        <f aca="false">IF(B229="","",IFERROR(INDEX(Campaigns!$B$5:$B$24,MATCH(B229,Campaigns!$A$5:$A$24,0)),"ID not found"))</f>
        <v/>
      </c>
      <c r="I229" s="9" t="str">
        <f aca="false">IF(AND(B229&lt;&gt;"",D229&gt;0),E229/D229,"")</f>
        <v/>
      </c>
      <c r="J229" s="9" t="str">
        <f aca="false">IF(AND(B229&lt;&gt;"",F229&gt;0),G229/F229,"")</f>
        <v/>
      </c>
      <c r="K229" s="19" t="str">
        <f aca="false">IF(OR(I229="",J229=""),"",IF(AND(I229&gt;=Settings!$B$6,J229&gt;=Settings!$B$7),"On target","Below target"))</f>
        <v/>
      </c>
      <c r="L229" s="19" t="str">
        <f aca="false">IF(B229="","",IF(OR(E229&gt;D229,G229&gt;F229,D229&lt;0,E229&lt;0,F229&lt;0,G229&lt;0),"Check numbers","OK"))</f>
        <v/>
      </c>
    </row>
    <row r="230" customFormat="false" ht="15" hidden="false" customHeight="false" outlineLevel="0" collapsed="false">
      <c r="A230" s="15"/>
      <c r="B230" s="16"/>
      <c r="C230" s="16"/>
      <c r="D230" s="20"/>
      <c r="E230" s="20"/>
      <c r="F230" s="20"/>
      <c r="G230" s="20"/>
      <c r="H230" s="10" t="str">
        <f aca="false">IF(B230="","",IFERROR(INDEX(Campaigns!$B$5:$B$24,MATCH(B230,Campaigns!$A$5:$A$24,0)),"ID not found"))</f>
        <v/>
      </c>
      <c r="I230" s="9" t="str">
        <f aca="false">IF(AND(B230&lt;&gt;"",D230&gt;0),E230/D230,"")</f>
        <v/>
      </c>
      <c r="J230" s="9" t="str">
        <f aca="false">IF(AND(B230&lt;&gt;"",F230&gt;0),G230/F230,"")</f>
        <v/>
      </c>
      <c r="K230" s="19" t="str">
        <f aca="false">IF(OR(I230="",J230=""),"",IF(AND(I230&gt;=Settings!$B$6,J230&gt;=Settings!$B$7),"On target","Below target"))</f>
        <v/>
      </c>
      <c r="L230" s="19" t="str">
        <f aca="false">IF(B230="","",IF(OR(E230&gt;D230,G230&gt;F230,D230&lt;0,E230&lt;0,F230&lt;0,G230&lt;0),"Check numbers","OK"))</f>
        <v/>
      </c>
    </row>
    <row r="231" customFormat="false" ht="15" hidden="false" customHeight="false" outlineLevel="0" collapsed="false">
      <c r="A231" s="15"/>
      <c r="B231" s="16"/>
      <c r="C231" s="16"/>
      <c r="D231" s="20"/>
      <c r="E231" s="20"/>
      <c r="F231" s="20"/>
      <c r="G231" s="20"/>
      <c r="H231" s="10" t="str">
        <f aca="false">IF(B231="","",IFERROR(INDEX(Campaigns!$B$5:$B$24,MATCH(B231,Campaigns!$A$5:$A$24,0)),"ID not found"))</f>
        <v/>
      </c>
      <c r="I231" s="9" t="str">
        <f aca="false">IF(AND(B231&lt;&gt;"",D231&gt;0),E231/D231,"")</f>
        <v/>
      </c>
      <c r="J231" s="9" t="str">
        <f aca="false">IF(AND(B231&lt;&gt;"",F231&gt;0),G231/F231,"")</f>
        <v/>
      </c>
      <c r="K231" s="19" t="str">
        <f aca="false">IF(OR(I231="",J231=""),"",IF(AND(I231&gt;=Settings!$B$6,J231&gt;=Settings!$B$7),"On target","Below target"))</f>
        <v/>
      </c>
      <c r="L231" s="19" t="str">
        <f aca="false">IF(B231="","",IF(OR(E231&gt;D231,G231&gt;F231,D231&lt;0,E231&lt;0,F231&lt;0,G231&lt;0),"Check numbers","OK"))</f>
        <v/>
      </c>
    </row>
    <row r="232" customFormat="false" ht="15" hidden="false" customHeight="false" outlineLevel="0" collapsed="false">
      <c r="A232" s="15"/>
      <c r="B232" s="16"/>
      <c r="C232" s="16"/>
      <c r="D232" s="20"/>
      <c r="E232" s="20"/>
      <c r="F232" s="20"/>
      <c r="G232" s="20"/>
      <c r="H232" s="10" t="str">
        <f aca="false">IF(B232="","",IFERROR(INDEX(Campaigns!$B$5:$B$24,MATCH(B232,Campaigns!$A$5:$A$24,0)),"ID not found"))</f>
        <v/>
      </c>
      <c r="I232" s="9" t="str">
        <f aca="false">IF(AND(B232&lt;&gt;"",D232&gt;0),E232/D232,"")</f>
        <v/>
      </c>
      <c r="J232" s="9" t="str">
        <f aca="false">IF(AND(B232&lt;&gt;"",F232&gt;0),G232/F232,"")</f>
        <v/>
      </c>
      <c r="K232" s="19" t="str">
        <f aca="false">IF(OR(I232="",J232=""),"",IF(AND(I232&gt;=Settings!$B$6,J232&gt;=Settings!$B$7),"On target","Below target"))</f>
        <v/>
      </c>
      <c r="L232" s="19" t="str">
        <f aca="false">IF(B232="","",IF(OR(E232&gt;D232,G232&gt;F232,D232&lt;0,E232&lt;0,F232&lt;0,G232&lt;0),"Check numbers","OK"))</f>
        <v/>
      </c>
    </row>
    <row r="233" customFormat="false" ht="15" hidden="false" customHeight="false" outlineLevel="0" collapsed="false">
      <c r="A233" s="15"/>
      <c r="B233" s="16"/>
      <c r="C233" s="16"/>
      <c r="D233" s="20"/>
      <c r="E233" s="20"/>
      <c r="F233" s="20"/>
      <c r="G233" s="20"/>
      <c r="H233" s="10" t="str">
        <f aca="false">IF(B233="","",IFERROR(INDEX(Campaigns!$B$5:$B$24,MATCH(B233,Campaigns!$A$5:$A$24,0)),"ID not found"))</f>
        <v/>
      </c>
      <c r="I233" s="9" t="str">
        <f aca="false">IF(AND(B233&lt;&gt;"",D233&gt;0),E233/D233,"")</f>
        <v/>
      </c>
      <c r="J233" s="9" t="str">
        <f aca="false">IF(AND(B233&lt;&gt;"",F233&gt;0),G233/F233,"")</f>
        <v/>
      </c>
      <c r="K233" s="19" t="str">
        <f aca="false">IF(OR(I233="",J233=""),"",IF(AND(I233&gt;=Settings!$B$6,J233&gt;=Settings!$B$7),"On target","Below target"))</f>
        <v/>
      </c>
      <c r="L233" s="19" t="str">
        <f aca="false">IF(B233="","",IF(OR(E233&gt;D233,G233&gt;F233,D233&lt;0,E233&lt;0,F233&lt;0,G233&lt;0),"Check numbers","OK"))</f>
        <v/>
      </c>
    </row>
    <row r="234" customFormat="false" ht="15" hidden="false" customHeight="false" outlineLevel="0" collapsed="false">
      <c r="A234" s="15"/>
      <c r="B234" s="16"/>
      <c r="C234" s="16"/>
      <c r="D234" s="20"/>
      <c r="E234" s="20"/>
      <c r="F234" s="20"/>
      <c r="G234" s="20"/>
      <c r="H234" s="10" t="str">
        <f aca="false">IF(B234="","",IFERROR(INDEX(Campaigns!$B$5:$B$24,MATCH(B234,Campaigns!$A$5:$A$24,0)),"ID not found"))</f>
        <v/>
      </c>
      <c r="I234" s="9" t="str">
        <f aca="false">IF(AND(B234&lt;&gt;"",D234&gt;0),E234/D234,"")</f>
        <v/>
      </c>
      <c r="J234" s="9" t="str">
        <f aca="false">IF(AND(B234&lt;&gt;"",F234&gt;0),G234/F234,"")</f>
        <v/>
      </c>
      <c r="K234" s="19" t="str">
        <f aca="false">IF(OR(I234="",J234=""),"",IF(AND(I234&gt;=Settings!$B$6,J234&gt;=Settings!$B$7),"On target","Below target"))</f>
        <v/>
      </c>
      <c r="L234" s="19" t="str">
        <f aca="false">IF(B234="","",IF(OR(E234&gt;D234,G234&gt;F234,D234&lt;0,E234&lt;0,F234&lt;0,G234&lt;0),"Check numbers","OK"))</f>
        <v/>
      </c>
    </row>
    <row r="235" customFormat="false" ht="15" hidden="false" customHeight="false" outlineLevel="0" collapsed="false">
      <c r="A235" s="15"/>
      <c r="B235" s="16"/>
      <c r="C235" s="16"/>
      <c r="D235" s="20"/>
      <c r="E235" s="20"/>
      <c r="F235" s="20"/>
      <c r="G235" s="20"/>
      <c r="H235" s="10" t="str">
        <f aca="false">IF(B235="","",IFERROR(INDEX(Campaigns!$B$5:$B$24,MATCH(B235,Campaigns!$A$5:$A$24,0)),"ID not found"))</f>
        <v/>
      </c>
      <c r="I235" s="9" t="str">
        <f aca="false">IF(AND(B235&lt;&gt;"",D235&gt;0),E235/D235,"")</f>
        <v/>
      </c>
      <c r="J235" s="9" t="str">
        <f aca="false">IF(AND(B235&lt;&gt;"",F235&gt;0),G235/F235,"")</f>
        <v/>
      </c>
      <c r="K235" s="19" t="str">
        <f aca="false">IF(OR(I235="",J235=""),"",IF(AND(I235&gt;=Settings!$B$6,J235&gt;=Settings!$B$7),"On target","Below target"))</f>
        <v/>
      </c>
      <c r="L235" s="19" t="str">
        <f aca="false">IF(B235="","",IF(OR(E235&gt;D235,G235&gt;F235,D235&lt;0,E235&lt;0,F235&lt;0,G235&lt;0),"Check numbers","OK"))</f>
        <v/>
      </c>
    </row>
    <row r="236" customFormat="false" ht="15" hidden="false" customHeight="false" outlineLevel="0" collapsed="false">
      <c r="A236" s="15"/>
      <c r="B236" s="16"/>
      <c r="C236" s="16"/>
      <c r="D236" s="20"/>
      <c r="E236" s="20"/>
      <c r="F236" s="20"/>
      <c r="G236" s="20"/>
      <c r="H236" s="10" t="str">
        <f aca="false">IF(B236="","",IFERROR(INDEX(Campaigns!$B$5:$B$24,MATCH(B236,Campaigns!$A$5:$A$24,0)),"ID not found"))</f>
        <v/>
      </c>
      <c r="I236" s="9" t="str">
        <f aca="false">IF(AND(B236&lt;&gt;"",D236&gt;0),E236/D236,"")</f>
        <v/>
      </c>
      <c r="J236" s="9" t="str">
        <f aca="false">IF(AND(B236&lt;&gt;"",F236&gt;0),G236/F236,"")</f>
        <v/>
      </c>
      <c r="K236" s="19" t="str">
        <f aca="false">IF(OR(I236="",J236=""),"",IF(AND(I236&gt;=Settings!$B$6,J236&gt;=Settings!$B$7),"On target","Below target"))</f>
        <v/>
      </c>
      <c r="L236" s="19" t="str">
        <f aca="false">IF(B236="","",IF(OR(E236&gt;D236,G236&gt;F236,D236&lt;0,E236&lt;0,F236&lt;0,G236&lt;0),"Check numbers","OK"))</f>
        <v/>
      </c>
    </row>
    <row r="237" customFormat="false" ht="15" hidden="false" customHeight="false" outlineLevel="0" collapsed="false">
      <c r="A237" s="15"/>
      <c r="B237" s="16"/>
      <c r="C237" s="16"/>
      <c r="D237" s="20"/>
      <c r="E237" s="20"/>
      <c r="F237" s="20"/>
      <c r="G237" s="20"/>
      <c r="H237" s="10" t="str">
        <f aca="false">IF(B237="","",IFERROR(INDEX(Campaigns!$B$5:$B$24,MATCH(B237,Campaigns!$A$5:$A$24,0)),"ID not found"))</f>
        <v/>
      </c>
      <c r="I237" s="9" t="str">
        <f aca="false">IF(AND(B237&lt;&gt;"",D237&gt;0),E237/D237,"")</f>
        <v/>
      </c>
      <c r="J237" s="9" t="str">
        <f aca="false">IF(AND(B237&lt;&gt;"",F237&gt;0),G237/F237,"")</f>
        <v/>
      </c>
      <c r="K237" s="19" t="str">
        <f aca="false">IF(OR(I237="",J237=""),"",IF(AND(I237&gt;=Settings!$B$6,J237&gt;=Settings!$B$7),"On target","Below target"))</f>
        <v/>
      </c>
      <c r="L237" s="19" t="str">
        <f aca="false">IF(B237="","",IF(OR(E237&gt;D237,G237&gt;F237,D237&lt;0,E237&lt;0,F237&lt;0,G237&lt;0),"Check numbers","OK"))</f>
        <v/>
      </c>
    </row>
    <row r="238" customFormat="false" ht="15" hidden="false" customHeight="false" outlineLevel="0" collapsed="false">
      <c r="A238" s="15"/>
      <c r="B238" s="16"/>
      <c r="C238" s="16"/>
      <c r="D238" s="20"/>
      <c r="E238" s="20"/>
      <c r="F238" s="20"/>
      <c r="G238" s="20"/>
      <c r="H238" s="10" t="str">
        <f aca="false">IF(B238="","",IFERROR(INDEX(Campaigns!$B$5:$B$24,MATCH(B238,Campaigns!$A$5:$A$24,0)),"ID not found"))</f>
        <v/>
      </c>
      <c r="I238" s="9" t="str">
        <f aca="false">IF(AND(B238&lt;&gt;"",D238&gt;0),E238/D238,"")</f>
        <v/>
      </c>
      <c r="J238" s="9" t="str">
        <f aca="false">IF(AND(B238&lt;&gt;"",F238&gt;0),G238/F238,"")</f>
        <v/>
      </c>
      <c r="K238" s="19" t="str">
        <f aca="false">IF(OR(I238="",J238=""),"",IF(AND(I238&gt;=Settings!$B$6,J238&gt;=Settings!$B$7),"On target","Below target"))</f>
        <v/>
      </c>
      <c r="L238" s="19" t="str">
        <f aca="false">IF(B238="","",IF(OR(E238&gt;D238,G238&gt;F238,D238&lt;0,E238&lt;0,F238&lt;0,G238&lt;0),"Check numbers","OK"))</f>
        <v/>
      </c>
    </row>
    <row r="239" customFormat="false" ht="15" hidden="false" customHeight="false" outlineLevel="0" collapsed="false">
      <c r="A239" s="15"/>
      <c r="B239" s="16"/>
      <c r="C239" s="16"/>
      <c r="D239" s="20"/>
      <c r="E239" s="20"/>
      <c r="F239" s="20"/>
      <c r="G239" s="20"/>
      <c r="H239" s="10" t="str">
        <f aca="false">IF(B239="","",IFERROR(INDEX(Campaigns!$B$5:$B$24,MATCH(B239,Campaigns!$A$5:$A$24,0)),"ID not found"))</f>
        <v/>
      </c>
      <c r="I239" s="9" t="str">
        <f aca="false">IF(AND(B239&lt;&gt;"",D239&gt;0),E239/D239,"")</f>
        <v/>
      </c>
      <c r="J239" s="9" t="str">
        <f aca="false">IF(AND(B239&lt;&gt;"",F239&gt;0),G239/F239,"")</f>
        <v/>
      </c>
      <c r="K239" s="19" t="str">
        <f aca="false">IF(OR(I239="",J239=""),"",IF(AND(I239&gt;=Settings!$B$6,J239&gt;=Settings!$B$7),"On target","Below target"))</f>
        <v/>
      </c>
      <c r="L239" s="19" t="str">
        <f aca="false">IF(B239="","",IF(OR(E239&gt;D239,G239&gt;F239,D239&lt;0,E239&lt;0,F239&lt;0,G239&lt;0),"Check numbers","OK"))</f>
        <v/>
      </c>
    </row>
    <row r="240" customFormat="false" ht="15" hidden="false" customHeight="false" outlineLevel="0" collapsed="false">
      <c r="A240" s="15"/>
      <c r="B240" s="16"/>
      <c r="C240" s="16"/>
      <c r="D240" s="20"/>
      <c r="E240" s="20"/>
      <c r="F240" s="20"/>
      <c r="G240" s="20"/>
      <c r="H240" s="10" t="str">
        <f aca="false">IF(B240="","",IFERROR(INDEX(Campaigns!$B$5:$B$24,MATCH(B240,Campaigns!$A$5:$A$24,0)),"ID not found"))</f>
        <v/>
      </c>
      <c r="I240" s="9" t="str">
        <f aca="false">IF(AND(B240&lt;&gt;"",D240&gt;0),E240/D240,"")</f>
        <v/>
      </c>
      <c r="J240" s="9" t="str">
        <f aca="false">IF(AND(B240&lt;&gt;"",F240&gt;0),G240/F240,"")</f>
        <v/>
      </c>
      <c r="K240" s="19" t="str">
        <f aca="false">IF(OR(I240="",J240=""),"",IF(AND(I240&gt;=Settings!$B$6,J240&gt;=Settings!$B$7),"On target","Below target"))</f>
        <v/>
      </c>
      <c r="L240" s="19" t="str">
        <f aca="false">IF(B240="","",IF(OR(E240&gt;D240,G240&gt;F240,D240&lt;0,E240&lt;0,F240&lt;0,G240&lt;0),"Check numbers","OK"))</f>
        <v/>
      </c>
    </row>
    <row r="241" customFormat="false" ht="15" hidden="false" customHeight="false" outlineLevel="0" collapsed="false">
      <c r="A241" s="15"/>
      <c r="B241" s="16"/>
      <c r="C241" s="16"/>
      <c r="D241" s="20"/>
      <c r="E241" s="20"/>
      <c r="F241" s="20"/>
      <c r="G241" s="20"/>
      <c r="H241" s="10" t="str">
        <f aca="false">IF(B241="","",IFERROR(INDEX(Campaigns!$B$5:$B$24,MATCH(B241,Campaigns!$A$5:$A$24,0)),"ID not found"))</f>
        <v/>
      </c>
      <c r="I241" s="9" t="str">
        <f aca="false">IF(AND(B241&lt;&gt;"",D241&gt;0),E241/D241,"")</f>
        <v/>
      </c>
      <c r="J241" s="9" t="str">
        <f aca="false">IF(AND(B241&lt;&gt;"",F241&gt;0),G241/F241,"")</f>
        <v/>
      </c>
      <c r="K241" s="19" t="str">
        <f aca="false">IF(OR(I241="",J241=""),"",IF(AND(I241&gt;=Settings!$B$6,J241&gt;=Settings!$B$7),"On target","Below target"))</f>
        <v/>
      </c>
      <c r="L241" s="19" t="str">
        <f aca="false">IF(B241="","",IF(OR(E241&gt;D241,G241&gt;F241,D241&lt;0,E241&lt;0,F241&lt;0,G241&lt;0),"Check numbers","OK"))</f>
        <v/>
      </c>
    </row>
    <row r="242" customFormat="false" ht="15" hidden="false" customHeight="false" outlineLevel="0" collapsed="false">
      <c r="A242" s="15"/>
      <c r="B242" s="16"/>
      <c r="C242" s="16"/>
      <c r="D242" s="20"/>
      <c r="E242" s="20"/>
      <c r="F242" s="20"/>
      <c r="G242" s="20"/>
      <c r="H242" s="10" t="str">
        <f aca="false">IF(B242="","",IFERROR(INDEX(Campaigns!$B$5:$B$24,MATCH(B242,Campaigns!$A$5:$A$24,0)),"ID not found"))</f>
        <v/>
      </c>
      <c r="I242" s="9" t="str">
        <f aca="false">IF(AND(B242&lt;&gt;"",D242&gt;0),E242/D242,"")</f>
        <v/>
      </c>
      <c r="J242" s="9" t="str">
        <f aca="false">IF(AND(B242&lt;&gt;"",F242&gt;0),G242/F242,"")</f>
        <v/>
      </c>
      <c r="K242" s="19" t="str">
        <f aca="false">IF(OR(I242="",J242=""),"",IF(AND(I242&gt;=Settings!$B$6,J242&gt;=Settings!$B$7),"On target","Below target"))</f>
        <v/>
      </c>
      <c r="L242" s="19" t="str">
        <f aca="false">IF(B242="","",IF(OR(E242&gt;D242,G242&gt;F242,D242&lt;0,E242&lt;0,F242&lt;0,G242&lt;0),"Check numbers","OK"))</f>
        <v/>
      </c>
    </row>
    <row r="243" customFormat="false" ht="15" hidden="false" customHeight="false" outlineLevel="0" collapsed="false">
      <c r="A243" s="15"/>
      <c r="B243" s="16"/>
      <c r="C243" s="16"/>
      <c r="D243" s="20"/>
      <c r="E243" s="20"/>
      <c r="F243" s="20"/>
      <c r="G243" s="20"/>
      <c r="H243" s="10" t="str">
        <f aca="false">IF(B243="","",IFERROR(INDEX(Campaigns!$B$5:$B$24,MATCH(B243,Campaigns!$A$5:$A$24,0)),"ID not found"))</f>
        <v/>
      </c>
      <c r="I243" s="9" t="str">
        <f aca="false">IF(AND(B243&lt;&gt;"",D243&gt;0),E243/D243,"")</f>
        <v/>
      </c>
      <c r="J243" s="9" t="str">
        <f aca="false">IF(AND(B243&lt;&gt;"",F243&gt;0),G243/F243,"")</f>
        <v/>
      </c>
      <c r="K243" s="19" t="str">
        <f aca="false">IF(OR(I243="",J243=""),"",IF(AND(I243&gt;=Settings!$B$6,J243&gt;=Settings!$B$7),"On target","Below target"))</f>
        <v/>
      </c>
      <c r="L243" s="19" t="str">
        <f aca="false">IF(B243="","",IF(OR(E243&gt;D243,G243&gt;F243,D243&lt;0,E243&lt;0,F243&lt;0,G243&lt;0),"Check numbers","OK"))</f>
        <v/>
      </c>
    </row>
    <row r="244" customFormat="false" ht="15" hidden="false" customHeight="false" outlineLevel="0" collapsed="false">
      <c r="A244" s="15"/>
      <c r="B244" s="16"/>
      <c r="C244" s="16"/>
      <c r="D244" s="20"/>
      <c r="E244" s="20"/>
      <c r="F244" s="20"/>
      <c r="G244" s="20"/>
      <c r="H244" s="10" t="str">
        <f aca="false">IF(B244="","",IFERROR(INDEX(Campaigns!$B$5:$B$24,MATCH(B244,Campaigns!$A$5:$A$24,0)),"ID not found"))</f>
        <v/>
      </c>
      <c r="I244" s="9" t="str">
        <f aca="false">IF(AND(B244&lt;&gt;"",D244&gt;0),E244/D244,"")</f>
        <v/>
      </c>
      <c r="J244" s="9" t="str">
        <f aca="false">IF(AND(B244&lt;&gt;"",F244&gt;0),G244/F244,"")</f>
        <v/>
      </c>
      <c r="K244" s="19" t="str">
        <f aca="false">IF(OR(I244="",J244=""),"",IF(AND(I244&gt;=Settings!$B$6,J244&gt;=Settings!$B$7),"On target","Below target"))</f>
        <v/>
      </c>
      <c r="L244" s="19" t="str">
        <f aca="false">IF(B244="","",IF(OR(E244&gt;D244,G244&gt;F244,D244&lt;0,E244&lt;0,F244&lt;0,G244&lt;0),"Check numbers","OK"))</f>
        <v/>
      </c>
    </row>
    <row r="245" customFormat="false" ht="15" hidden="false" customHeight="false" outlineLevel="0" collapsed="false">
      <c r="A245" s="15"/>
      <c r="B245" s="16"/>
      <c r="C245" s="16"/>
      <c r="D245" s="20"/>
      <c r="E245" s="20"/>
      <c r="F245" s="20"/>
      <c r="G245" s="20"/>
      <c r="H245" s="10" t="str">
        <f aca="false">IF(B245="","",IFERROR(INDEX(Campaigns!$B$5:$B$24,MATCH(B245,Campaigns!$A$5:$A$24,0)),"ID not found"))</f>
        <v/>
      </c>
      <c r="I245" s="9" t="str">
        <f aca="false">IF(AND(B245&lt;&gt;"",D245&gt;0),E245/D245,"")</f>
        <v/>
      </c>
      <c r="J245" s="9" t="str">
        <f aca="false">IF(AND(B245&lt;&gt;"",F245&gt;0),G245/F245,"")</f>
        <v/>
      </c>
      <c r="K245" s="19" t="str">
        <f aca="false">IF(OR(I245="",J245=""),"",IF(AND(I245&gt;=Settings!$B$6,J245&gt;=Settings!$B$7),"On target","Below target"))</f>
        <v/>
      </c>
      <c r="L245" s="19" t="str">
        <f aca="false">IF(B245="","",IF(OR(E245&gt;D245,G245&gt;F245,D245&lt;0,E245&lt;0,F245&lt;0,G245&lt;0),"Check numbers","OK"))</f>
        <v/>
      </c>
    </row>
    <row r="246" customFormat="false" ht="15" hidden="false" customHeight="false" outlineLevel="0" collapsed="false">
      <c r="A246" s="15"/>
      <c r="B246" s="16"/>
      <c r="C246" s="16"/>
      <c r="D246" s="20"/>
      <c r="E246" s="20"/>
      <c r="F246" s="20"/>
      <c r="G246" s="20"/>
      <c r="H246" s="10" t="str">
        <f aca="false">IF(B246="","",IFERROR(INDEX(Campaigns!$B$5:$B$24,MATCH(B246,Campaigns!$A$5:$A$24,0)),"ID not found"))</f>
        <v/>
      </c>
      <c r="I246" s="9" t="str">
        <f aca="false">IF(AND(B246&lt;&gt;"",D246&gt;0),E246/D246,"")</f>
        <v/>
      </c>
      <c r="J246" s="9" t="str">
        <f aca="false">IF(AND(B246&lt;&gt;"",F246&gt;0),G246/F246,"")</f>
        <v/>
      </c>
      <c r="K246" s="19" t="str">
        <f aca="false">IF(OR(I246="",J246=""),"",IF(AND(I246&gt;=Settings!$B$6,J246&gt;=Settings!$B$7),"On target","Below target"))</f>
        <v/>
      </c>
      <c r="L246" s="19" t="str">
        <f aca="false">IF(B246="","",IF(OR(E246&gt;D246,G246&gt;F246,D246&lt;0,E246&lt;0,F246&lt;0,G246&lt;0),"Check numbers","OK"))</f>
        <v/>
      </c>
    </row>
    <row r="247" customFormat="false" ht="15" hidden="false" customHeight="false" outlineLevel="0" collapsed="false">
      <c r="A247" s="15"/>
      <c r="B247" s="16"/>
      <c r="C247" s="16"/>
      <c r="D247" s="20"/>
      <c r="E247" s="20"/>
      <c r="F247" s="20"/>
      <c r="G247" s="20"/>
      <c r="H247" s="10" t="str">
        <f aca="false">IF(B247="","",IFERROR(INDEX(Campaigns!$B$5:$B$24,MATCH(B247,Campaigns!$A$5:$A$24,0)),"ID not found"))</f>
        <v/>
      </c>
      <c r="I247" s="9" t="str">
        <f aca="false">IF(AND(B247&lt;&gt;"",D247&gt;0),E247/D247,"")</f>
        <v/>
      </c>
      <c r="J247" s="9" t="str">
        <f aca="false">IF(AND(B247&lt;&gt;"",F247&gt;0),G247/F247,"")</f>
        <v/>
      </c>
      <c r="K247" s="19" t="str">
        <f aca="false">IF(OR(I247="",J247=""),"",IF(AND(I247&gt;=Settings!$B$6,J247&gt;=Settings!$B$7),"On target","Below target"))</f>
        <v/>
      </c>
      <c r="L247" s="19" t="str">
        <f aca="false">IF(B247="","",IF(OR(E247&gt;D247,G247&gt;F247,D247&lt;0,E247&lt;0,F247&lt;0,G247&lt;0),"Check numbers","OK"))</f>
        <v/>
      </c>
    </row>
    <row r="248" customFormat="false" ht="15" hidden="false" customHeight="false" outlineLevel="0" collapsed="false">
      <c r="A248" s="15"/>
      <c r="B248" s="16"/>
      <c r="C248" s="16"/>
      <c r="D248" s="20"/>
      <c r="E248" s="20"/>
      <c r="F248" s="20"/>
      <c r="G248" s="20"/>
      <c r="H248" s="10" t="str">
        <f aca="false">IF(B248="","",IFERROR(INDEX(Campaigns!$B$5:$B$24,MATCH(B248,Campaigns!$A$5:$A$24,0)),"ID not found"))</f>
        <v/>
      </c>
      <c r="I248" s="9" t="str">
        <f aca="false">IF(AND(B248&lt;&gt;"",D248&gt;0),E248/D248,"")</f>
        <v/>
      </c>
      <c r="J248" s="9" t="str">
        <f aca="false">IF(AND(B248&lt;&gt;"",F248&gt;0),G248/F248,"")</f>
        <v/>
      </c>
      <c r="K248" s="19" t="str">
        <f aca="false">IF(OR(I248="",J248=""),"",IF(AND(I248&gt;=Settings!$B$6,J248&gt;=Settings!$B$7),"On target","Below target"))</f>
        <v/>
      </c>
      <c r="L248" s="19" t="str">
        <f aca="false">IF(B248="","",IF(OR(E248&gt;D248,G248&gt;F248,D248&lt;0,E248&lt;0,F248&lt;0,G248&lt;0),"Check numbers","OK"))</f>
        <v/>
      </c>
    </row>
    <row r="249" customFormat="false" ht="15" hidden="false" customHeight="false" outlineLevel="0" collapsed="false">
      <c r="A249" s="15"/>
      <c r="B249" s="16"/>
      <c r="C249" s="16"/>
      <c r="D249" s="20"/>
      <c r="E249" s="20"/>
      <c r="F249" s="20"/>
      <c r="G249" s="20"/>
      <c r="H249" s="10" t="str">
        <f aca="false">IF(B249="","",IFERROR(INDEX(Campaigns!$B$5:$B$24,MATCH(B249,Campaigns!$A$5:$A$24,0)),"ID not found"))</f>
        <v/>
      </c>
      <c r="I249" s="9" t="str">
        <f aca="false">IF(AND(B249&lt;&gt;"",D249&gt;0),E249/D249,"")</f>
        <v/>
      </c>
      <c r="J249" s="9" t="str">
        <f aca="false">IF(AND(B249&lt;&gt;"",F249&gt;0),G249/F249,"")</f>
        <v/>
      </c>
      <c r="K249" s="19" t="str">
        <f aca="false">IF(OR(I249="",J249=""),"",IF(AND(I249&gt;=Settings!$B$6,J249&gt;=Settings!$B$7),"On target","Below target"))</f>
        <v/>
      </c>
      <c r="L249" s="19" t="str">
        <f aca="false">IF(B249="","",IF(OR(E249&gt;D249,G249&gt;F249,D249&lt;0,E249&lt;0,F249&lt;0,G249&lt;0),"Check numbers","OK"))</f>
        <v/>
      </c>
    </row>
    <row r="250" customFormat="false" ht="15" hidden="false" customHeight="false" outlineLevel="0" collapsed="false">
      <c r="A250" s="15"/>
      <c r="B250" s="16"/>
      <c r="C250" s="16"/>
      <c r="D250" s="20"/>
      <c r="E250" s="20"/>
      <c r="F250" s="20"/>
      <c r="G250" s="20"/>
      <c r="H250" s="10" t="str">
        <f aca="false">IF(B250="","",IFERROR(INDEX(Campaigns!$B$5:$B$24,MATCH(B250,Campaigns!$A$5:$A$24,0)),"ID not found"))</f>
        <v/>
      </c>
      <c r="I250" s="9" t="str">
        <f aca="false">IF(AND(B250&lt;&gt;"",D250&gt;0),E250/D250,"")</f>
        <v/>
      </c>
      <c r="J250" s="9" t="str">
        <f aca="false">IF(AND(B250&lt;&gt;"",F250&gt;0),G250/F250,"")</f>
        <v/>
      </c>
      <c r="K250" s="19" t="str">
        <f aca="false">IF(OR(I250="",J250=""),"",IF(AND(I250&gt;=Settings!$B$6,J250&gt;=Settings!$B$7),"On target","Below target"))</f>
        <v/>
      </c>
      <c r="L250" s="19" t="str">
        <f aca="false">IF(B250="","",IF(OR(E250&gt;D250,G250&gt;F250,D250&lt;0,E250&lt;0,F250&lt;0,G250&lt;0),"Check numbers","OK"))</f>
        <v/>
      </c>
    </row>
    <row r="251" customFormat="false" ht="15" hidden="false" customHeight="false" outlineLevel="0" collapsed="false">
      <c r="A251" s="15"/>
      <c r="B251" s="16"/>
      <c r="C251" s="16"/>
      <c r="D251" s="20"/>
      <c r="E251" s="20"/>
      <c r="F251" s="20"/>
      <c r="G251" s="20"/>
      <c r="H251" s="10" t="str">
        <f aca="false">IF(B251="","",IFERROR(INDEX(Campaigns!$B$5:$B$24,MATCH(B251,Campaigns!$A$5:$A$24,0)),"ID not found"))</f>
        <v/>
      </c>
      <c r="I251" s="9" t="str">
        <f aca="false">IF(AND(B251&lt;&gt;"",D251&gt;0),E251/D251,"")</f>
        <v/>
      </c>
      <c r="J251" s="9" t="str">
        <f aca="false">IF(AND(B251&lt;&gt;"",F251&gt;0),G251/F251,"")</f>
        <v/>
      </c>
      <c r="K251" s="19" t="str">
        <f aca="false">IF(OR(I251="",J251=""),"",IF(AND(I251&gt;=Settings!$B$6,J251&gt;=Settings!$B$7),"On target","Below target"))</f>
        <v/>
      </c>
      <c r="L251" s="19" t="str">
        <f aca="false">IF(B251="","",IF(OR(E251&gt;D251,G251&gt;F251,D251&lt;0,E251&lt;0,F251&lt;0,G251&lt;0),"Check numbers","OK"))</f>
        <v/>
      </c>
    </row>
    <row r="252" customFormat="false" ht="15" hidden="false" customHeight="false" outlineLevel="0" collapsed="false">
      <c r="A252" s="15"/>
      <c r="B252" s="16"/>
      <c r="C252" s="16"/>
      <c r="D252" s="20"/>
      <c r="E252" s="20"/>
      <c r="F252" s="20"/>
      <c r="G252" s="20"/>
      <c r="H252" s="10" t="str">
        <f aca="false">IF(B252="","",IFERROR(INDEX(Campaigns!$B$5:$B$24,MATCH(B252,Campaigns!$A$5:$A$24,0)),"ID not found"))</f>
        <v/>
      </c>
      <c r="I252" s="9" t="str">
        <f aca="false">IF(AND(B252&lt;&gt;"",D252&gt;0),E252/D252,"")</f>
        <v/>
      </c>
      <c r="J252" s="9" t="str">
        <f aca="false">IF(AND(B252&lt;&gt;"",F252&gt;0),G252/F252,"")</f>
        <v/>
      </c>
      <c r="K252" s="19" t="str">
        <f aca="false">IF(OR(I252="",J252=""),"",IF(AND(I252&gt;=Settings!$B$6,J252&gt;=Settings!$B$7),"On target","Below target"))</f>
        <v/>
      </c>
      <c r="L252" s="19" t="str">
        <f aca="false">IF(B252="","",IF(OR(E252&gt;D252,G252&gt;F252,D252&lt;0,E252&lt;0,F252&lt;0,G252&lt;0),"Check numbers","OK"))</f>
        <v/>
      </c>
    </row>
    <row r="253" customFormat="false" ht="15" hidden="false" customHeight="false" outlineLevel="0" collapsed="false">
      <c r="A253" s="15"/>
      <c r="B253" s="16"/>
      <c r="C253" s="16"/>
      <c r="D253" s="20"/>
      <c r="E253" s="20"/>
      <c r="F253" s="20"/>
      <c r="G253" s="20"/>
      <c r="H253" s="10" t="str">
        <f aca="false">IF(B253="","",IFERROR(INDEX(Campaigns!$B$5:$B$24,MATCH(B253,Campaigns!$A$5:$A$24,0)),"ID not found"))</f>
        <v/>
      </c>
      <c r="I253" s="9" t="str">
        <f aca="false">IF(AND(B253&lt;&gt;"",D253&gt;0),E253/D253,"")</f>
        <v/>
      </c>
      <c r="J253" s="9" t="str">
        <f aca="false">IF(AND(B253&lt;&gt;"",F253&gt;0),G253/F253,"")</f>
        <v/>
      </c>
      <c r="K253" s="19" t="str">
        <f aca="false">IF(OR(I253="",J253=""),"",IF(AND(I253&gt;=Settings!$B$6,J253&gt;=Settings!$B$7),"On target","Below target"))</f>
        <v/>
      </c>
      <c r="L253" s="19" t="str">
        <f aca="false">IF(B253="","",IF(OR(E253&gt;D253,G253&gt;F253,D253&lt;0,E253&lt;0,F253&lt;0,G253&lt;0),"Check numbers","OK"))</f>
        <v/>
      </c>
    </row>
    <row r="254" customFormat="false" ht="15" hidden="false" customHeight="false" outlineLevel="0" collapsed="false">
      <c r="A254" s="15"/>
      <c r="B254" s="16"/>
      <c r="C254" s="16"/>
      <c r="D254" s="20"/>
      <c r="E254" s="20"/>
      <c r="F254" s="20"/>
      <c r="G254" s="20"/>
      <c r="H254" s="10" t="str">
        <f aca="false">IF(B254="","",IFERROR(INDEX(Campaigns!$B$5:$B$24,MATCH(B254,Campaigns!$A$5:$A$24,0)),"ID not found"))</f>
        <v/>
      </c>
      <c r="I254" s="9" t="str">
        <f aca="false">IF(AND(B254&lt;&gt;"",D254&gt;0),E254/D254,"")</f>
        <v/>
      </c>
      <c r="J254" s="9" t="str">
        <f aca="false">IF(AND(B254&lt;&gt;"",F254&gt;0),G254/F254,"")</f>
        <v/>
      </c>
      <c r="K254" s="19" t="str">
        <f aca="false">IF(OR(I254="",J254=""),"",IF(AND(I254&gt;=Settings!$B$6,J254&gt;=Settings!$B$7),"On target","Below target"))</f>
        <v/>
      </c>
      <c r="L254" s="19" t="str">
        <f aca="false">IF(B254="","",IF(OR(E254&gt;D254,G254&gt;F254,D254&lt;0,E254&lt;0,F254&lt;0,G254&lt;0),"Check numbers","OK"))</f>
        <v/>
      </c>
    </row>
    <row r="255" customFormat="false" ht="15" hidden="false" customHeight="false" outlineLevel="0" collapsed="false">
      <c r="A255" s="15"/>
      <c r="B255" s="16"/>
      <c r="C255" s="16"/>
      <c r="D255" s="20"/>
      <c r="E255" s="20"/>
      <c r="F255" s="20"/>
      <c r="G255" s="20"/>
      <c r="H255" s="10" t="str">
        <f aca="false">IF(B255="","",IFERROR(INDEX(Campaigns!$B$5:$B$24,MATCH(B255,Campaigns!$A$5:$A$24,0)),"ID not found"))</f>
        <v/>
      </c>
      <c r="I255" s="9" t="str">
        <f aca="false">IF(AND(B255&lt;&gt;"",D255&gt;0),E255/D255,"")</f>
        <v/>
      </c>
      <c r="J255" s="9" t="str">
        <f aca="false">IF(AND(B255&lt;&gt;"",F255&gt;0),G255/F255,"")</f>
        <v/>
      </c>
      <c r="K255" s="19" t="str">
        <f aca="false">IF(OR(I255="",J255=""),"",IF(AND(I255&gt;=Settings!$B$6,J255&gt;=Settings!$B$7),"On target","Below target"))</f>
        <v/>
      </c>
      <c r="L255" s="19" t="str">
        <f aca="false">IF(B255="","",IF(OR(E255&gt;D255,G255&gt;F255,D255&lt;0,E255&lt;0,F255&lt;0,G255&lt;0),"Check numbers","OK"))</f>
        <v/>
      </c>
    </row>
    <row r="256" customFormat="false" ht="15" hidden="false" customHeight="false" outlineLevel="0" collapsed="false">
      <c r="A256" s="15"/>
      <c r="B256" s="16"/>
      <c r="C256" s="16"/>
      <c r="D256" s="20"/>
      <c r="E256" s="20"/>
      <c r="F256" s="20"/>
      <c r="G256" s="20"/>
      <c r="H256" s="10" t="str">
        <f aca="false">IF(B256="","",IFERROR(INDEX(Campaigns!$B$5:$B$24,MATCH(B256,Campaigns!$A$5:$A$24,0)),"ID not found"))</f>
        <v/>
      </c>
      <c r="I256" s="9" t="str">
        <f aca="false">IF(AND(B256&lt;&gt;"",D256&gt;0),E256/D256,"")</f>
        <v/>
      </c>
      <c r="J256" s="9" t="str">
        <f aca="false">IF(AND(B256&lt;&gt;"",F256&gt;0),G256/F256,"")</f>
        <v/>
      </c>
      <c r="K256" s="19" t="str">
        <f aca="false">IF(OR(I256="",J256=""),"",IF(AND(I256&gt;=Settings!$B$6,J256&gt;=Settings!$B$7),"On target","Below target"))</f>
        <v/>
      </c>
      <c r="L256" s="19" t="str">
        <f aca="false">IF(B256="","",IF(OR(E256&gt;D256,G256&gt;F256,D256&lt;0,E256&lt;0,F256&lt;0,G256&lt;0),"Check numbers","OK"))</f>
        <v/>
      </c>
    </row>
    <row r="257" customFormat="false" ht="15" hidden="false" customHeight="false" outlineLevel="0" collapsed="false">
      <c r="A257" s="15"/>
      <c r="B257" s="16"/>
      <c r="C257" s="16"/>
      <c r="D257" s="20"/>
      <c r="E257" s="20"/>
      <c r="F257" s="20"/>
      <c r="G257" s="20"/>
      <c r="H257" s="10" t="str">
        <f aca="false">IF(B257="","",IFERROR(INDEX(Campaigns!$B$5:$B$24,MATCH(B257,Campaigns!$A$5:$A$24,0)),"ID not found"))</f>
        <v/>
      </c>
      <c r="I257" s="9" t="str">
        <f aca="false">IF(AND(B257&lt;&gt;"",D257&gt;0),E257/D257,"")</f>
        <v/>
      </c>
      <c r="J257" s="9" t="str">
        <f aca="false">IF(AND(B257&lt;&gt;"",F257&gt;0),G257/F257,"")</f>
        <v/>
      </c>
      <c r="K257" s="19" t="str">
        <f aca="false">IF(OR(I257="",J257=""),"",IF(AND(I257&gt;=Settings!$B$6,J257&gt;=Settings!$B$7),"On target","Below target"))</f>
        <v/>
      </c>
      <c r="L257" s="19" t="str">
        <f aca="false">IF(B257="","",IF(OR(E257&gt;D257,G257&gt;F257,D257&lt;0,E257&lt;0,F257&lt;0,G257&lt;0),"Check numbers","OK"))</f>
        <v/>
      </c>
    </row>
    <row r="258" customFormat="false" ht="15" hidden="false" customHeight="false" outlineLevel="0" collapsed="false">
      <c r="A258" s="15"/>
      <c r="B258" s="16"/>
      <c r="C258" s="16"/>
      <c r="D258" s="20"/>
      <c r="E258" s="20"/>
      <c r="F258" s="20"/>
      <c r="G258" s="20"/>
      <c r="H258" s="10" t="str">
        <f aca="false">IF(B258="","",IFERROR(INDEX(Campaigns!$B$5:$B$24,MATCH(B258,Campaigns!$A$5:$A$24,0)),"ID not found"))</f>
        <v/>
      </c>
      <c r="I258" s="9" t="str">
        <f aca="false">IF(AND(B258&lt;&gt;"",D258&gt;0),E258/D258,"")</f>
        <v/>
      </c>
      <c r="J258" s="9" t="str">
        <f aca="false">IF(AND(B258&lt;&gt;"",F258&gt;0),G258/F258,"")</f>
        <v/>
      </c>
      <c r="K258" s="19" t="str">
        <f aca="false">IF(OR(I258="",J258=""),"",IF(AND(I258&gt;=Settings!$B$6,J258&gt;=Settings!$B$7),"On target","Below target"))</f>
        <v/>
      </c>
      <c r="L258" s="19" t="str">
        <f aca="false">IF(B258="","",IF(OR(E258&gt;D258,G258&gt;F258,D258&lt;0,E258&lt;0,F258&lt;0,G258&lt;0),"Check numbers","OK"))</f>
        <v/>
      </c>
    </row>
    <row r="259" customFormat="false" ht="15" hidden="false" customHeight="false" outlineLevel="0" collapsed="false">
      <c r="A259" s="15"/>
      <c r="B259" s="16"/>
      <c r="C259" s="16"/>
      <c r="D259" s="20"/>
      <c r="E259" s="20"/>
      <c r="F259" s="20"/>
      <c r="G259" s="20"/>
      <c r="H259" s="10" t="str">
        <f aca="false">IF(B259="","",IFERROR(INDEX(Campaigns!$B$5:$B$24,MATCH(B259,Campaigns!$A$5:$A$24,0)),"ID not found"))</f>
        <v/>
      </c>
      <c r="I259" s="9" t="str">
        <f aca="false">IF(AND(B259&lt;&gt;"",D259&gt;0),E259/D259,"")</f>
        <v/>
      </c>
      <c r="J259" s="9" t="str">
        <f aca="false">IF(AND(B259&lt;&gt;"",F259&gt;0),G259/F259,"")</f>
        <v/>
      </c>
      <c r="K259" s="19" t="str">
        <f aca="false">IF(OR(I259="",J259=""),"",IF(AND(I259&gt;=Settings!$B$6,J259&gt;=Settings!$B$7),"On target","Below target"))</f>
        <v/>
      </c>
      <c r="L259" s="19" t="str">
        <f aca="false">IF(B259="","",IF(OR(E259&gt;D259,G259&gt;F259,D259&lt;0,E259&lt;0,F259&lt;0,G259&lt;0),"Check numbers","OK"))</f>
        <v/>
      </c>
    </row>
    <row r="260" customFormat="false" ht="15" hidden="false" customHeight="false" outlineLevel="0" collapsed="false">
      <c r="A260" s="15"/>
      <c r="B260" s="16"/>
      <c r="C260" s="16"/>
      <c r="D260" s="20"/>
      <c r="E260" s="20"/>
      <c r="F260" s="20"/>
      <c r="G260" s="20"/>
      <c r="H260" s="10" t="str">
        <f aca="false">IF(B260="","",IFERROR(INDEX(Campaigns!$B$5:$B$24,MATCH(B260,Campaigns!$A$5:$A$24,0)),"ID not found"))</f>
        <v/>
      </c>
      <c r="I260" s="9" t="str">
        <f aca="false">IF(AND(B260&lt;&gt;"",D260&gt;0),E260/D260,"")</f>
        <v/>
      </c>
      <c r="J260" s="9" t="str">
        <f aca="false">IF(AND(B260&lt;&gt;"",F260&gt;0),G260/F260,"")</f>
        <v/>
      </c>
      <c r="K260" s="19" t="str">
        <f aca="false">IF(OR(I260="",J260=""),"",IF(AND(I260&gt;=Settings!$B$6,J260&gt;=Settings!$B$7),"On target","Below target"))</f>
        <v/>
      </c>
      <c r="L260" s="19" t="str">
        <f aca="false">IF(B260="","",IF(OR(E260&gt;D260,G260&gt;F260,D260&lt;0,E260&lt;0,F260&lt;0,G260&lt;0),"Check numbers","OK"))</f>
        <v/>
      </c>
    </row>
    <row r="261" customFormat="false" ht="15" hidden="false" customHeight="false" outlineLevel="0" collapsed="false">
      <c r="A261" s="15"/>
      <c r="B261" s="16"/>
      <c r="C261" s="16"/>
      <c r="D261" s="20"/>
      <c r="E261" s="20"/>
      <c r="F261" s="20"/>
      <c r="G261" s="20"/>
      <c r="H261" s="10" t="str">
        <f aca="false">IF(B261="","",IFERROR(INDEX(Campaigns!$B$5:$B$24,MATCH(B261,Campaigns!$A$5:$A$24,0)),"ID not found"))</f>
        <v/>
      </c>
      <c r="I261" s="9" t="str">
        <f aca="false">IF(AND(B261&lt;&gt;"",D261&gt;0),E261/D261,"")</f>
        <v/>
      </c>
      <c r="J261" s="9" t="str">
        <f aca="false">IF(AND(B261&lt;&gt;"",F261&gt;0),G261/F261,"")</f>
        <v/>
      </c>
      <c r="K261" s="19" t="str">
        <f aca="false">IF(OR(I261="",J261=""),"",IF(AND(I261&gt;=Settings!$B$6,J261&gt;=Settings!$B$7),"On target","Below target"))</f>
        <v/>
      </c>
      <c r="L261" s="19" t="str">
        <f aca="false">IF(B261="","",IF(OR(E261&gt;D261,G261&gt;F261,D261&lt;0,E261&lt;0,F261&lt;0,G261&lt;0),"Check numbers","OK"))</f>
        <v/>
      </c>
    </row>
    <row r="262" customFormat="false" ht="15" hidden="false" customHeight="false" outlineLevel="0" collapsed="false">
      <c r="A262" s="15"/>
      <c r="B262" s="16"/>
      <c r="C262" s="16"/>
      <c r="D262" s="20"/>
      <c r="E262" s="20"/>
      <c r="F262" s="20"/>
      <c r="G262" s="20"/>
      <c r="H262" s="10" t="str">
        <f aca="false">IF(B262="","",IFERROR(INDEX(Campaigns!$B$5:$B$24,MATCH(B262,Campaigns!$A$5:$A$24,0)),"ID not found"))</f>
        <v/>
      </c>
      <c r="I262" s="9" t="str">
        <f aca="false">IF(AND(B262&lt;&gt;"",D262&gt;0),E262/D262,"")</f>
        <v/>
      </c>
      <c r="J262" s="9" t="str">
        <f aca="false">IF(AND(B262&lt;&gt;"",F262&gt;0),G262/F262,"")</f>
        <v/>
      </c>
      <c r="K262" s="19" t="str">
        <f aca="false">IF(OR(I262="",J262=""),"",IF(AND(I262&gt;=Settings!$B$6,J262&gt;=Settings!$B$7),"On target","Below target"))</f>
        <v/>
      </c>
      <c r="L262" s="19" t="str">
        <f aca="false">IF(B262="","",IF(OR(E262&gt;D262,G262&gt;F262,D262&lt;0,E262&lt;0,F262&lt;0,G262&lt;0),"Check numbers","OK"))</f>
        <v/>
      </c>
    </row>
    <row r="263" customFormat="false" ht="15" hidden="false" customHeight="false" outlineLevel="0" collapsed="false">
      <c r="A263" s="15"/>
      <c r="B263" s="16"/>
      <c r="C263" s="16"/>
      <c r="D263" s="20"/>
      <c r="E263" s="20"/>
      <c r="F263" s="20"/>
      <c r="G263" s="20"/>
      <c r="H263" s="10" t="str">
        <f aca="false">IF(B263="","",IFERROR(INDEX(Campaigns!$B$5:$B$24,MATCH(B263,Campaigns!$A$5:$A$24,0)),"ID not found"))</f>
        <v/>
      </c>
      <c r="I263" s="9" t="str">
        <f aca="false">IF(AND(B263&lt;&gt;"",D263&gt;0),E263/D263,"")</f>
        <v/>
      </c>
      <c r="J263" s="9" t="str">
        <f aca="false">IF(AND(B263&lt;&gt;"",F263&gt;0),G263/F263,"")</f>
        <v/>
      </c>
      <c r="K263" s="19" t="str">
        <f aca="false">IF(OR(I263="",J263=""),"",IF(AND(I263&gt;=Settings!$B$6,J263&gt;=Settings!$B$7),"On target","Below target"))</f>
        <v/>
      </c>
      <c r="L263" s="19" t="str">
        <f aca="false">IF(B263="","",IF(OR(E263&gt;D263,G263&gt;F263,D263&lt;0,E263&lt;0,F263&lt;0,G263&lt;0),"Check numbers","OK"))</f>
        <v/>
      </c>
    </row>
    <row r="264" customFormat="false" ht="15" hidden="false" customHeight="false" outlineLevel="0" collapsed="false">
      <c r="A264" s="15"/>
      <c r="B264" s="16"/>
      <c r="C264" s="16"/>
      <c r="D264" s="20"/>
      <c r="E264" s="20"/>
      <c r="F264" s="20"/>
      <c r="G264" s="20"/>
      <c r="H264" s="10" t="str">
        <f aca="false">IF(B264="","",IFERROR(INDEX(Campaigns!$B$5:$B$24,MATCH(B264,Campaigns!$A$5:$A$24,0)),"ID not found"))</f>
        <v/>
      </c>
      <c r="I264" s="9" t="str">
        <f aca="false">IF(AND(B264&lt;&gt;"",D264&gt;0),E264/D264,"")</f>
        <v/>
      </c>
      <c r="J264" s="9" t="str">
        <f aca="false">IF(AND(B264&lt;&gt;"",F264&gt;0),G264/F264,"")</f>
        <v/>
      </c>
      <c r="K264" s="19" t="str">
        <f aca="false">IF(OR(I264="",J264=""),"",IF(AND(I264&gt;=Settings!$B$6,J264&gt;=Settings!$B$7),"On target","Below target"))</f>
        <v/>
      </c>
      <c r="L264" s="19" t="str">
        <f aca="false">IF(B264="","",IF(OR(E264&gt;D264,G264&gt;F264,D264&lt;0,E264&lt;0,F264&lt;0,G264&lt;0),"Check numbers","OK"))</f>
        <v/>
      </c>
    </row>
    <row r="265" customFormat="false" ht="15" hidden="false" customHeight="false" outlineLevel="0" collapsed="false">
      <c r="A265" s="15"/>
      <c r="B265" s="16"/>
      <c r="C265" s="16"/>
      <c r="D265" s="20"/>
      <c r="E265" s="20"/>
      <c r="F265" s="20"/>
      <c r="G265" s="20"/>
      <c r="H265" s="10" t="str">
        <f aca="false">IF(B265="","",IFERROR(INDEX(Campaigns!$B$5:$B$24,MATCH(B265,Campaigns!$A$5:$A$24,0)),"ID not found"))</f>
        <v/>
      </c>
      <c r="I265" s="9" t="str">
        <f aca="false">IF(AND(B265&lt;&gt;"",D265&gt;0),E265/D265,"")</f>
        <v/>
      </c>
      <c r="J265" s="9" t="str">
        <f aca="false">IF(AND(B265&lt;&gt;"",F265&gt;0),G265/F265,"")</f>
        <v/>
      </c>
      <c r="K265" s="19" t="str">
        <f aca="false">IF(OR(I265="",J265=""),"",IF(AND(I265&gt;=Settings!$B$6,J265&gt;=Settings!$B$7),"On target","Below target"))</f>
        <v/>
      </c>
      <c r="L265" s="19" t="str">
        <f aca="false">IF(B265="","",IF(OR(E265&gt;D265,G265&gt;F265,D265&lt;0,E265&lt;0,F265&lt;0,G265&lt;0),"Check numbers","OK"))</f>
        <v/>
      </c>
    </row>
    <row r="266" customFormat="false" ht="15" hidden="false" customHeight="false" outlineLevel="0" collapsed="false">
      <c r="A266" s="15"/>
      <c r="B266" s="16"/>
      <c r="C266" s="16"/>
      <c r="D266" s="20"/>
      <c r="E266" s="20"/>
      <c r="F266" s="20"/>
      <c r="G266" s="20"/>
      <c r="H266" s="10" t="str">
        <f aca="false">IF(B266="","",IFERROR(INDEX(Campaigns!$B$5:$B$24,MATCH(B266,Campaigns!$A$5:$A$24,0)),"ID not found"))</f>
        <v/>
      </c>
      <c r="I266" s="9" t="str">
        <f aca="false">IF(AND(B266&lt;&gt;"",D266&gt;0),E266/D266,"")</f>
        <v/>
      </c>
      <c r="J266" s="9" t="str">
        <f aca="false">IF(AND(B266&lt;&gt;"",F266&gt;0),G266/F266,"")</f>
        <v/>
      </c>
      <c r="K266" s="19" t="str">
        <f aca="false">IF(OR(I266="",J266=""),"",IF(AND(I266&gt;=Settings!$B$6,J266&gt;=Settings!$B$7),"On target","Below target"))</f>
        <v/>
      </c>
      <c r="L266" s="19" t="str">
        <f aca="false">IF(B266="","",IF(OR(E266&gt;D266,G266&gt;F266,D266&lt;0,E266&lt;0,F266&lt;0,G266&lt;0),"Check numbers","OK"))</f>
        <v/>
      </c>
    </row>
    <row r="267" customFormat="false" ht="15" hidden="false" customHeight="false" outlineLevel="0" collapsed="false">
      <c r="A267" s="15"/>
      <c r="B267" s="16"/>
      <c r="C267" s="16"/>
      <c r="D267" s="20"/>
      <c r="E267" s="20"/>
      <c r="F267" s="20"/>
      <c r="G267" s="20"/>
      <c r="H267" s="10" t="str">
        <f aca="false">IF(B267="","",IFERROR(INDEX(Campaigns!$B$5:$B$24,MATCH(B267,Campaigns!$A$5:$A$24,0)),"ID not found"))</f>
        <v/>
      </c>
      <c r="I267" s="9" t="str">
        <f aca="false">IF(AND(B267&lt;&gt;"",D267&gt;0),E267/D267,"")</f>
        <v/>
      </c>
      <c r="J267" s="9" t="str">
        <f aca="false">IF(AND(B267&lt;&gt;"",F267&gt;0),G267/F267,"")</f>
        <v/>
      </c>
      <c r="K267" s="19" t="str">
        <f aca="false">IF(OR(I267="",J267=""),"",IF(AND(I267&gt;=Settings!$B$6,J267&gt;=Settings!$B$7),"On target","Below target"))</f>
        <v/>
      </c>
      <c r="L267" s="19" t="str">
        <f aca="false">IF(B267="","",IF(OR(E267&gt;D267,G267&gt;F267,D267&lt;0,E267&lt;0,F267&lt;0,G267&lt;0),"Check numbers","OK"))</f>
        <v/>
      </c>
    </row>
    <row r="268" customFormat="false" ht="15" hidden="false" customHeight="false" outlineLevel="0" collapsed="false">
      <c r="A268" s="15"/>
      <c r="B268" s="16"/>
      <c r="C268" s="16"/>
      <c r="D268" s="20"/>
      <c r="E268" s="20"/>
      <c r="F268" s="20"/>
      <c r="G268" s="20"/>
      <c r="H268" s="10" t="str">
        <f aca="false">IF(B268="","",IFERROR(INDEX(Campaigns!$B$5:$B$24,MATCH(B268,Campaigns!$A$5:$A$24,0)),"ID not found"))</f>
        <v/>
      </c>
      <c r="I268" s="9" t="str">
        <f aca="false">IF(AND(B268&lt;&gt;"",D268&gt;0),E268/D268,"")</f>
        <v/>
      </c>
      <c r="J268" s="9" t="str">
        <f aca="false">IF(AND(B268&lt;&gt;"",F268&gt;0),G268/F268,"")</f>
        <v/>
      </c>
      <c r="K268" s="19" t="str">
        <f aca="false">IF(OR(I268="",J268=""),"",IF(AND(I268&gt;=Settings!$B$6,J268&gt;=Settings!$B$7),"On target","Below target"))</f>
        <v/>
      </c>
      <c r="L268" s="19" t="str">
        <f aca="false">IF(B268="","",IF(OR(E268&gt;D268,G268&gt;F268,D268&lt;0,E268&lt;0,F268&lt;0,G268&lt;0),"Check numbers","OK"))</f>
        <v/>
      </c>
    </row>
    <row r="269" customFormat="false" ht="15" hidden="false" customHeight="false" outlineLevel="0" collapsed="false">
      <c r="A269" s="15"/>
      <c r="B269" s="16"/>
      <c r="C269" s="16"/>
      <c r="D269" s="20"/>
      <c r="E269" s="20"/>
      <c r="F269" s="20"/>
      <c r="G269" s="20"/>
      <c r="H269" s="10" t="str">
        <f aca="false">IF(B269="","",IFERROR(INDEX(Campaigns!$B$5:$B$24,MATCH(B269,Campaigns!$A$5:$A$24,0)),"ID not found"))</f>
        <v/>
      </c>
      <c r="I269" s="9" t="str">
        <f aca="false">IF(AND(B269&lt;&gt;"",D269&gt;0),E269/D269,"")</f>
        <v/>
      </c>
      <c r="J269" s="9" t="str">
        <f aca="false">IF(AND(B269&lt;&gt;"",F269&gt;0),G269/F269,"")</f>
        <v/>
      </c>
      <c r="K269" s="19" t="str">
        <f aca="false">IF(OR(I269="",J269=""),"",IF(AND(I269&gt;=Settings!$B$6,J269&gt;=Settings!$B$7),"On target","Below target"))</f>
        <v/>
      </c>
      <c r="L269" s="19" t="str">
        <f aca="false">IF(B269="","",IF(OR(E269&gt;D269,G269&gt;F269,D269&lt;0,E269&lt;0,F269&lt;0,G269&lt;0),"Check numbers","OK"))</f>
        <v/>
      </c>
    </row>
    <row r="270" customFormat="false" ht="15" hidden="false" customHeight="false" outlineLevel="0" collapsed="false">
      <c r="A270" s="15"/>
      <c r="B270" s="16"/>
      <c r="C270" s="16"/>
      <c r="D270" s="20"/>
      <c r="E270" s="20"/>
      <c r="F270" s="20"/>
      <c r="G270" s="20"/>
      <c r="H270" s="10" t="str">
        <f aca="false">IF(B270="","",IFERROR(INDEX(Campaigns!$B$5:$B$24,MATCH(B270,Campaigns!$A$5:$A$24,0)),"ID not found"))</f>
        <v/>
      </c>
      <c r="I270" s="9" t="str">
        <f aca="false">IF(AND(B270&lt;&gt;"",D270&gt;0),E270/D270,"")</f>
        <v/>
      </c>
      <c r="J270" s="9" t="str">
        <f aca="false">IF(AND(B270&lt;&gt;"",F270&gt;0),G270/F270,"")</f>
        <v/>
      </c>
      <c r="K270" s="19" t="str">
        <f aca="false">IF(OR(I270="",J270=""),"",IF(AND(I270&gt;=Settings!$B$6,J270&gt;=Settings!$B$7),"On target","Below target"))</f>
        <v/>
      </c>
      <c r="L270" s="19" t="str">
        <f aca="false">IF(B270="","",IF(OR(E270&gt;D270,G270&gt;F270,D270&lt;0,E270&lt;0,F270&lt;0,G270&lt;0),"Check numbers","OK"))</f>
        <v/>
      </c>
    </row>
    <row r="271" customFormat="false" ht="15" hidden="false" customHeight="false" outlineLevel="0" collapsed="false">
      <c r="A271" s="15"/>
      <c r="B271" s="16"/>
      <c r="C271" s="16"/>
      <c r="D271" s="20"/>
      <c r="E271" s="20"/>
      <c r="F271" s="20"/>
      <c r="G271" s="20"/>
      <c r="H271" s="10" t="str">
        <f aca="false">IF(B271="","",IFERROR(INDEX(Campaigns!$B$5:$B$24,MATCH(B271,Campaigns!$A$5:$A$24,0)),"ID not found"))</f>
        <v/>
      </c>
      <c r="I271" s="9" t="str">
        <f aca="false">IF(AND(B271&lt;&gt;"",D271&gt;0),E271/D271,"")</f>
        <v/>
      </c>
      <c r="J271" s="9" t="str">
        <f aca="false">IF(AND(B271&lt;&gt;"",F271&gt;0),G271/F271,"")</f>
        <v/>
      </c>
      <c r="K271" s="19" t="str">
        <f aca="false">IF(OR(I271="",J271=""),"",IF(AND(I271&gt;=Settings!$B$6,J271&gt;=Settings!$B$7),"On target","Below target"))</f>
        <v/>
      </c>
      <c r="L271" s="19" t="str">
        <f aca="false">IF(B271="","",IF(OR(E271&gt;D271,G271&gt;F271,D271&lt;0,E271&lt;0,F271&lt;0,G271&lt;0),"Check numbers","OK"))</f>
        <v/>
      </c>
    </row>
    <row r="272" customFormat="false" ht="15" hidden="false" customHeight="false" outlineLevel="0" collapsed="false">
      <c r="A272" s="15"/>
      <c r="B272" s="16"/>
      <c r="C272" s="16"/>
      <c r="D272" s="20"/>
      <c r="E272" s="20"/>
      <c r="F272" s="20"/>
      <c r="G272" s="20"/>
      <c r="H272" s="10" t="str">
        <f aca="false">IF(B272="","",IFERROR(INDEX(Campaigns!$B$5:$B$24,MATCH(B272,Campaigns!$A$5:$A$24,0)),"ID not found"))</f>
        <v/>
      </c>
      <c r="I272" s="9" t="str">
        <f aca="false">IF(AND(B272&lt;&gt;"",D272&gt;0),E272/D272,"")</f>
        <v/>
      </c>
      <c r="J272" s="9" t="str">
        <f aca="false">IF(AND(B272&lt;&gt;"",F272&gt;0),G272/F272,"")</f>
        <v/>
      </c>
      <c r="K272" s="19" t="str">
        <f aca="false">IF(OR(I272="",J272=""),"",IF(AND(I272&gt;=Settings!$B$6,J272&gt;=Settings!$B$7),"On target","Below target"))</f>
        <v/>
      </c>
      <c r="L272" s="19" t="str">
        <f aca="false">IF(B272="","",IF(OR(E272&gt;D272,G272&gt;F272,D272&lt;0,E272&lt;0,F272&lt;0,G272&lt;0),"Check numbers","OK"))</f>
        <v/>
      </c>
    </row>
    <row r="273" customFormat="false" ht="15" hidden="false" customHeight="false" outlineLevel="0" collapsed="false">
      <c r="A273" s="15"/>
      <c r="B273" s="16"/>
      <c r="C273" s="16"/>
      <c r="D273" s="20"/>
      <c r="E273" s="20"/>
      <c r="F273" s="20"/>
      <c r="G273" s="20"/>
      <c r="H273" s="10" t="str">
        <f aca="false">IF(B273="","",IFERROR(INDEX(Campaigns!$B$5:$B$24,MATCH(B273,Campaigns!$A$5:$A$24,0)),"ID not found"))</f>
        <v/>
      </c>
      <c r="I273" s="9" t="str">
        <f aca="false">IF(AND(B273&lt;&gt;"",D273&gt;0),E273/D273,"")</f>
        <v/>
      </c>
      <c r="J273" s="9" t="str">
        <f aca="false">IF(AND(B273&lt;&gt;"",F273&gt;0),G273/F273,"")</f>
        <v/>
      </c>
      <c r="K273" s="19" t="str">
        <f aca="false">IF(OR(I273="",J273=""),"",IF(AND(I273&gt;=Settings!$B$6,J273&gt;=Settings!$B$7),"On target","Below target"))</f>
        <v/>
      </c>
      <c r="L273" s="19" t="str">
        <f aca="false">IF(B273="","",IF(OR(E273&gt;D273,G273&gt;F273,D273&lt;0,E273&lt;0,F273&lt;0,G273&lt;0),"Check numbers","OK"))</f>
        <v/>
      </c>
    </row>
    <row r="274" customFormat="false" ht="15" hidden="false" customHeight="false" outlineLevel="0" collapsed="false">
      <c r="A274" s="15"/>
      <c r="B274" s="16"/>
      <c r="C274" s="16"/>
      <c r="D274" s="20"/>
      <c r="E274" s="20"/>
      <c r="F274" s="20"/>
      <c r="G274" s="20"/>
      <c r="H274" s="10" t="str">
        <f aca="false">IF(B274="","",IFERROR(INDEX(Campaigns!$B$5:$B$24,MATCH(B274,Campaigns!$A$5:$A$24,0)),"ID not found"))</f>
        <v/>
      </c>
      <c r="I274" s="9" t="str">
        <f aca="false">IF(AND(B274&lt;&gt;"",D274&gt;0),E274/D274,"")</f>
        <v/>
      </c>
      <c r="J274" s="9" t="str">
        <f aca="false">IF(AND(B274&lt;&gt;"",F274&gt;0),G274/F274,"")</f>
        <v/>
      </c>
      <c r="K274" s="19" t="str">
        <f aca="false">IF(OR(I274="",J274=""),"",IF(AND(I274&gt;=Settings!$B$6,J274&gt;=Settings!$B$7),"On target","Below target"))</f>
        <v/>
      </c>
      <c r="L274" s="19" t="str">
        <f aca="false">IF(B274="","",IF(OR(E274&gt;D274,G274&gt;F274,D274&lt;0,E274&lt;0,F274&lt;0,G274&lt;0),"Check numbers","OK"))</f>
        <v/>
      </c>
    </row>
    <row r="275" customFormat="false" ht="15" hidden="false" customHeight="false" outlineLevel="0" collapsed="false">
      <c r="A275" s="15"/>
      <c r="B275" s="16"/>
      <c r="C275" s="16"/>
      <c r="D275" s="20"/>
      <c r="E275" s="20"/>
      <c r="F275" s="20"/>
      <c r="G275" s="20"/>
      <c r="H275" s="10" t="str">
        <f aca="false">IF(B275="","",IFERROR(INDEX(Campaigns!$B$5:$B$24,MATCH(B275,Campaigns!$A$5:$A$24,0)),"ID not found"))</f>
        <v/>
      </c>
      <c r="I275" s="9" t="str">
        <f aca="false">IF(AND(B275&lt;&gt;"",D275&gt;0),E275/D275,"")</f>
        <v/>
      </c>
      <c r="J275" s="9" t="str">
        <f aca="false">IF(AND(B275&lt;&gt;"",F275&gt;0),G275/F275,"")</f>
        <v/>
      </c>
      <c r="K275" s="19" t="str">
        <f aca="false">IF(OR(I275="",J275=""),"",IF(AND(I275&gt;=Settings!$B$6,J275&gt;=Settings!$B$7),"On target","Below target"))</f>
        <v/>
      </c>
      <c r="L275" s="19" t="str">
        <f aca="false">IF(B275="","",IF(OR(E275&gt;D275,G275&gt;F275,D275&lt;0,E275&lt;0,F275&lt;0,G275&lt;0),"Check numbers","OK"))</f>
        <v/>
      </c>
    </row>
    <row r="276" customFormat="false" ht="15" hidden="false" customHeight="false" outlineLevel="0" collapsed="false">
      <c r="A276" s="15"/>
      <c r="B276" s="16"/>
      <c r="C276" s="16"/>
      <c r="D276" s="20"/>
      <c r="E276" s="20"/>
      <c r="F276" s="20"/>
      <c r="G276" s="20"/>
      <c r="H276" s="10" t="str">
        <f aca="false">IF(B276="","",IFERROR(INDEX(Campaigns!$B$5:$B$24,MATCH(B276,Campaigns!$A$5:$A$24,0)),"ID not found"))</f>
        <v/>
      </c>
      <c r="I276" s="9" t="str">
        <f aca="false">IF(AND(B276&lt;&gt;"",D276&gt;0),E276/D276,"")</f>
        <v/>
      </c>
      <c r="J276" s="9" t="str">
        <f aca="false">IF(AND(B276&lt;&gt;"",F276&gt;0),G276/F276,"")</f>
        <v/>
      </c>
      <c r="K276" s="19" t="str">
        <f aca="false">IF(OR(I276="",J276=""),"",IF(AND(I276&gt;=Settings!$B$6,J276&gt;=Settings!$B$7),"On target","Below target"))</f>
        <v/>
      </c>
      <c r="L276" s="19" t="str">
        <f aca="false">IF(B276="","",IF(OR(E276&gt;D276,G276&gt;F276,D276&lt;0,E276&lt;0,F276&lt;0,G276&lt;0),"Check numbers","OK"))</f>
        <v/>
      </c>
    </row>
    <row r="277" customFormat="false" ht="15" hidden="false" customHeight="false" outlineLevel="0" collapsed="false">
      <c r="A277" s="15"/>
      <c r="B277" s="16"/>
      <c r="C277" s="16"/>
      <c r="D277" s="20"/>
      <c r="E277" s="20"/>
      <c r="F277" s="20"/>
      <c r="G277" s="20"/>
      <c r="H277" s="10" t="str">
        <f aca="false">IF(B277="","",IFERROR(INDEX(Campaigns!$B$5:$B$24,MATCH(B277,Campaigns!$A$5:$A$24,0)),"ID not found"))</f>
        <v/>
      </c>
      <c r="I277" s="9" t="str">
        <f aca="false">IF(AND(B277&lt;&gt;"",D277&gt;0),E277/D277,"")</f>
        <v/>
      </c>
      <c r="J277" s="9" t="str">
        <f aca="false">IF(AND(B277&lt;&gt;"",F277&gt;0),G277/F277,"")</f>
        <v/>
      </c>
      <c r="K277" s="19" t="str">
        <f aca="false">IF(OR(I277="",J277=""),"",IF(AND(I277&gt;=Settings!$B$6,J277&gt;=Settings!$B$7),"On target","Below target"))</f>
        <v/>
      </c>
      <c r="L277" s="19" t="str">
        <f aca="false">IF(B277="","",IF(OR(E277&gt;D277,G277&gt;F277,D277&lt;0,E277&lt;0,F277&lt;0,G277&lt;0),"Check numbers","OK"))</f>
        <v/>
      </c>
    </row>
    <row r="278" customFormat="false" ht="15" hidden="false" customHeight="false" outlineLevel="0" collapsed="false">
      <c r="A278" s="15"/>
      <c r="B278" s="16"/>
      <c r="C278" s="16"/>
      <c r="D278" s="20"/>
      <c r="E278" s="20"/>
      <c r="F278" s="20"/>
      <c r="G278" s="20"/>
      <c r="H278" s="10" t="str">
        <f aca="false">IF(B278="","",IFERROR(INDEX(Campaigns!$B$5:$B$24,MATCH(B278,Campaigns!$A$5:$A$24,0)),"ID not found"))</f>
        <v/>
      </c>
      <c r="I278" s="9" t="str">
        <f aca="false">IF(AND(B278&lt;&gt;"",D278&gt;0),E278/D278,"")</f>
        <v/>
      </c>
      <c r="J278" s="9" t="str">
        <f aca="false">IF(AND(B278&lt;&gt;"",F278&gt;0),G278/F278,"")</f>
        <v/>
      </c>
      <c r="K278" s="19" t="str">
        <f aca="false">IF(OR(I278="",J278=""),"",IF(AND(I278&gt;=Settings!$B$6,J278&gt;=Settings!$B$7),"On target","Below target"))</f>
        <v/>
      </c>
      <c r="L278" s="19" t="str">
        <f aca="false">IF(B278="","",IF(OR(E278&gt;D278,G278&gt;F278,D278&lt;0,E278&lt;0,F278&lt;0,G278&lt;0),"Check numbers","OK"))</f>
        <v/>
      </c>
    </row>
    <row r="279" customFormat="false" ht="15" hidden="false" customHeight="false" outlineLevel="0" collapsed="false">
      <c r="A279" s="15"/>
      <c r="B279" s="16"/>
      <c r="C279" s="16"/>
      <c r="D279" s="20"/>
      <c r="E279" s="20"/>
      <c r="F279" s="20"/>
      <c r="G279" s="20"/>
      <c r="H279" s="10" t="str">
        <f aca="false">IF(B279="","",IFERROR(INDEX(Campaigns!$B$5:$B$24,MATCH(B279,Campaigns!$A$5:$A$24,0)),"ID not found"))</f>
        <v/>
      </c>
      <c r="I279" s="9" t="str">
        <f aca="false">IF(AND(B279&lt;&gt;"",D279&gt;0),E279/D279,"")</f>
        <v/>
      </c>
      <c r="J279" s="9" t="str">
        <f aca="false">IF(AND(B279&lt;&gt;"",F279&gt;0),G279/F279,"")</f>
        <v/>
      </c>
      <c r="K279" s="19" t="str">
        <f aca="false">IF(OR(I279="",J279=""),"",IF(AND(I279&gt;=Settings!$B$6,J279&gt;=Settings!$B$7),"On target","Below target"))</f>
        <v/>
      </c>
      <c r="L279" s="19" t="str">
        <f aca="false">IF(B279="","",IF(OR(E279&gt;D279,G279&gt;F279,D279&lt;0,E279&lt;0,F279&lt;0,G279&lt;0),"Check numbers","OK"))</f>
        <v/>
      </c>
    </row>
    <row r="280" customFormat="false" ht="15" hidden="false" customHeight="false" outlineLevel="0" collapsed="false">
      <c r="A280" s="15"/>
      <c r="B280" s="16"/>
      <c r="C280" s="16"/>
      <c r="D280" s="20"/>
      <c r="E280" s="20"/>
      <c r="F280" s="20"/>
      <c r="G280" s="20"/>
      <c r="H280" s="10" t="str">
        <f aca="false">IF(B280="","",IFERROR(INDEX(Campaigns!$B$5:$B$24,MATCH(B280,Campaigns!$A$5:$A$24,0)),"ID not found"))</f>
        <v/>
      </c>
      <c r="I280" s="9" t="str">
        <f aca="false">IF(AND(B280&lt;&gt;"",D280&gt;0),E280/D280,"")</f>
        <v/>
      </c>
      <c r="J280" s="9" t="str">
        <f aca="false">IF(AND(B280&lt;&gt;"",F280&gt;0),G280/F280,"")</f>
        <v/>
      </c>
      <c r="K280" s="19" t="str">
        <f aca="false">IF(OR(I280="",J280=""),"",IF(AND(I280&gt;=Settings!$B$6,J280&gt;=Settings!$B$7),"On target","Below target"))</f>
        <v/>
      </c>
      <c r="L280" s="19" t="str">
        <f aca="false">IF(B280="","",IF(OR(E280&gt;D280,G280&gt;F280,D280&lt;0,E280&lt;0,F280&lt;0,G280&lt;0),"Check numbers","OK"))</f>
        <v/>
      </c>
    </row>
    <row r="281" customFormat="false" ht="15" hidden="false" customHeight="false" outlineLevel="0" collapsed="false">
      <c r="A281" s="15"/>
      <c r="B281" s="16"/>
      <c r="C281" s="16"/>
      <c r="D281" s="20"/>
      <c r="E281" s="20"/>
      <c r="F281" s="20"/>
      <c r="G281" s="20"/>
      <c r="H281" s="10" t="str">
        <f aca="false">IF(B281="","",IFERROR(INDEX(Campaigns!$B$5:$B$24,MATCH(B281,Campaigns!$A$5:$A$24,0)),"ID not found"))</f>
        <v/>
      </c>
      <c r="I281" s="9" t="str">
        <f aca="false">IF(AND(B281&lt;&gt;"",D281&gt;0),E281/D281,"")</f>
        <v/>
      </c>
      <c r="J281" s="9" t="str">
        <f aca="false">IF(AND(B281&lt;&gt;"",F281&gt;0),G281/F281,"")</f>
        <v/>
      </c>
      <c r="K281" s="19" t="str">
        <f aca="false">IF(OR(I281="",J281=""),"",IF(AND(I281&gt;=Settings!$B$6,J281&gt;=Settings!$B$7),"On target","Below target"))</f>
        <v/>
      </c>
      <c r="L281" s="19" t="str">
        <f aca="false">IF(B281="","",IF(OR(E281&gt;D281,G281&gt;F281,D281&lt;0,E281&lt;0,F281&lt;0,G281&lt;0),"Check numbers","OK"))</f>
        <v/>
      </c>
    </row>
    <row r="282" customFormat="false" ht="15" hidden="false" customHeight="false" outlineLevel="0" collapsed="false">
      <c r="A282" s="15"/>
      <c r="B282" s="16"/>
      <c r="C282" s="16"/>
      <c r="D282" s="20"/>
      <c r="E282" s="20"/>
      <c r="F282" s="20"/>
      <c r="G282" s="20"/>
      <c r="H282" s="10" t="str">
        <f aca="false">IF(B282="","",IFERROR(INDEX(Campaigns!$B$5:$B$24,MATCH(B282,Campaigns!$A$5:$A$24,0)),"ID not found"))</f>
        <v/>
      </c>
      <c r="I282" s="9" t="str">
        <f aca="false">IF(AND(B282&lt;&gt;"",D282&gt;0),E282/D282,"")</f>
        <v/>
      </c>
      <c r="J282" s="9" t="str">
        <f aca="false">IF(AND(B282&lt;&gt;"",F282&gt;0),G282/F282,"")</f>
        <v/>
      </c>
      <c r="K282" s="19" t="str">
        <f aca="false">IF(OR(I282="",J282=""),"",IF(AND(I282&gt;=Settings!$B$6,J282&gt;=Settings!$B$7),"On target","Below target"))</f>
        <v/>
      </c>
      <c r="L282" s="19" t="str">
        <f aca="false">IF(B282="","",IF(OR(E282&gt;D282,G282&gt;F282,D282&lt;0,E282&lt;0,F282&lt;0,G282&lt;0),"Check numbers","OK"))</f>
        <v/>
      </c>
    </row>
    <row r="283" customFormat="false" ht="15" hidden="false" customHeight="false" outlineLevel="0" collapsed="false">
      <c r="A283" s="15"/>
      <c r="B283" s="16"/>
      <c r="C283" s="16"/>
      <c r="D283" s="20"/>
      <c r="E283" s="20"/>
      <c r="F283" s="20"/>
      <c r="G283" s="20"/>
      <c r="H283" s="10" t="str">
        <f aca="false">IF(B283="","",IFERROR(INDEX(Campaigns!$B$5:$B$24,MATCH(B283,Campaigns!$A$5:$A$24,0)),"ID not found"))</f>
        <v/>
      </c>
      <c r="I283" s="9" t="str">
        <f aca="false">IF(AND(B283&lt;&gt;"",D283&gt;0),E283/D283,"")</f>
        <v/>
      </c>
      <c r="J283" s="9" t="str">
        <f aca="false">IF(AND(B283&lt;&gt;"",F283&gt;0),G283/F283,"")</f>
        <v/>
      </c>
      <c r="K283" s="19" t="str">
        <f aca="false">IF(OR(I283="",J283=""),"",IF(AND(I283&gt;=Settings!$B$6,J283&gt;=Settings!$B$7),"On target","Below target"))</f>
        <v/>
      </c>
      <c r="L283" s="19" t="str">
        <f aca="false">IF(B283="","",IF(OR(E283&gt;D283,G283&gt;F283,D283&lt;0,E283&lt;0,F283&lt;0,G283&lt;0),"Check numbers","OK"))</f>
        <v/>
      </c>
    </row>
    <row r="284" customFormat="false" ht="15" hidden="false" customHeight="false" outlineLevel="0" collapsed="false">
      <c r="A284" s="15"/>
      <c r="B284" s="16"/>
      <c r="C284" s="16"/>
      <c r="D284" s="20"/>
      <c r="E284" s="20"/>
      <c r="F284" s="20"/>
      <c r="G284" s="20"/>
      <c r="H284" s="10" t="str">
        <f aca="false">IF(B284="","",IFERROR(INDEX(Campaigns!$B$5:$B$24,MATCH(B284,Campaigns!$A$5:$A$24,0)),"ID not found"))</f>
        <v/>
      </c>
      <c r="I284" s="9" t="str">
        <f aca="false">IF(AND(B284&lt;&gt;"",D284&gt;0),E284/D284,"")</f>
        <v/>
      </c>
      <c r="J284" s="9" t="str">
        <f aca="false">IF(AND(B284&lt;&gt;"",F284&gt;0),G284/F284,"")</f>
        <v/>
      </c>
      <c r="K284" s="19" t="str">
        <f aca="false">IF(OR(I284="",J284=""),"",IF(AND(I284&gt;=Settings!$B$6,J284&gt;=Settings!$B$7),"On target","Below target"))</f>
        <v/>
      </c>
      <c r="L284" s="19" t="str">
        <f aca="false">IF(B284="","",IF(OR(E284&gt;D284,G284&gt;F284,D284&lt;0,E284&lt;0,F284&lt;0,G284&lt;0),"Check numbers","OK"))</f>
        <v/>
      </c>
    </row>
    <row r="285" customFormat="false" ht="15" hidden="false" customHeight="false" outlineLevel="0" collapsed="false">
      <c r="A285" s="15"/>
      <c r="B285" s="16"/>
      <c r="C285" s="16"/>
      <c r="D285" s="20"/>
      <c r="E285" s="20"/>
      <c r="F285" s="20"/>
      <c r="G285" s="20"/>
      <c r="H285" s="10" t="str">
        <f aca="false">IF(B285="","",IFERROR(INDEX(Campaigns!$B$5:$B$24,MATCH(B285,Campaigns!$A$5:$A$24,0)),"ID not found"))</f>
        <v/>
      </c>
      <c r="I285" s="9" t="str">
        <f aca="false">IF(AND(B285&lt;&gt;"",D285&gt;0),E285/D285,"")</f>
        <v/>
      </c>
      <c r="J285" s="9" t="str">
        <f aca="false">IF(AND(B285&lt;&gt;"",F285&gt;0),G285/F285,"")</f>
        <v/>
      </c>
      <c r="K285" s="19" t="str">
        <f aca="false">IF(OR(I285="",J285=""),"",IF(AND(I285&gt;=Settings!$B$6,J285&gt;=Settings!$B$7),"On target","Below target"))</f>
        <v/>
      </c>
      <c r="L285" s="19" t="str">
        <f aca="false">IF(B285="","",IF(OR(E285&gt;D285,G285&gt;F285,D285&lt;0,E285&lt;0,F285&lt;0,G285&lt;0),"Check numbers","OK"))</f>
        <v/>
      </c>
    </row>
    <row r="286" customFormat="false" ht="15" hidden="false" customHeight="false" outlineLevel="0" collapsed="false">
      <c r="A286" s="15"/>
      <c r="B286" s="16"/>
      <c r="C286" s="16"/>
      <c r="D286" s="20"/>
      <c r="E286" s="20"/>
      <c r="F286" s="20"/>
      <c r="G286" s="20"/>
      <c r="H286" s="10" t="str">
        <f aca="false">IF(B286="","",IFERROR(INDEX(Campaigns!$B$5:$B$24,MATCH(B286,Campaigns!$A$5:$A$24,0)),"ID not found"))</f>
        <v/>
      </c>
      <c r="I286" s="9" t="str">
        <f aca="false">IF(AND(B286&lt;&gt;"",D286&gt;0),E286/D286,"")</f>
        <v/>
      </c>
      <c r="J286" s="9" t="str">
        <f aca="false">IF(AND(B286&lt;&gt;"",F286&gt;0),G286/F286,"")</f>
        <v/>
      </c>
      <c r="K286" s="19" t="str">
        <f aca="false">IF(OR(I286="",J286=""),"",IF(AND(I286&gt;=Settings!$B$6,J286&gt;=Settings!$B$7),"On target","Below target"))</f>
        <v/>
      </c>
      <c r="L286" s="19" t="str">
        <f aca="false">IF(B286="","",IF(OR(E286&gt;D286,G286&gt;F286,D286&lt;0,E286&lt;0,F286&lt;0,G286&lt;0),"Check numbers","OK"))</f>
        <v/>
      </c>
    </row>
    <row r="287" customFormat="false" ht="15" hidden="false" customHeight="false" outlineLevel="0" collapsed="false">
      <c r="A287" s="15"/>
      <c r="B287" s="16"/>
      <c r="C287" s="16"/>
      <c r="D287" s="20"/>
      <c r="E287" s="20"/>
      <c r="F287" s="20"/>
      <c r="G287" s="20"/>
      <c r="H287" s="10" t="str">
        <f aca="false">IF(B287="","",IFERROR(INDEX(Campaigns!$B$5:$B$24,MATCH(B287,Campaigns!$A$5:$A$24,0)),"ID not found"))</f>
        <v/>
      </c>
      <c r="I287" s="9" t="str">
        <f aca="false">IF(AND(B287&lt;&gt;"",D287&gt;0),E287/D287,"")</f>
        <v/>
      </c>
      <c r="J287" s="9" t="str">
        <f aca="false">IF(AND(B287&lt;&gt;"",F287&gt;0),G287/F287,"")</f>
        <v/>
      </c>
      <c r="K287" s="19" t="str">
        <f aca="false">IF(OR(I287="",J287=""),"",IF(AND(I287&gt;=Settings!$B$6,J287&gt;=Settings!$B$7),"On target","Below target"))</f>
        <v/>
      </c>
      <c r="L287" s="19" t="str">
        <f aca="false">IF(B287="","",IF(OR(E287&gt;D287,G287&gt;F287,D287&lt;0,E287&lt;0,F287&lt;0,G287&lt;0),"Check numbers","OK"))</f>
        <v/>
      </c>
    </row>
    <row r="288" customFormat="false" ht="15" hidden="false" customHeight="false" outlineLevel="0" collapsed="false">
      <c r="A288" s="15"/>
      <c r="B288" s="16"/>
      <c r="C288" s="16"/>
      <c r="D288" s="20"/>
      <c r="E288" s="20"/>
      <c r="F288" s="20"/>
      <c r="G288" s="20"/>
      <c r="H288" s="10" t="str">
        <f aca="false">IF(B288="","",IFERROR(INDEX(Campaigns!$B$5:$B$24,MATCH(B288,Campaigns!$A$5:$A$24,0)),"ID not found"))</f>
        <v/>
      </c>
      <c r="I288" s="9" t="str">
        <f aca="false">IF(AND(B288&lt;&gt;"",D288&gt;0),E288/D288,"")</f>
        <v/>
      </c>
      <c r="J288" s="9" t="str">
        <f aca="false">IF(AND(B288&lt;&gt;"",F288&gt;0),G288/F288,"")</f>
        <v/>
      </c>
      <c r="K288" s="19" t="str">
        <f aca="false">IF(OR(I288="",J288=""),"",IF(AND(I288&gt;=Settings!$B$6,J288&gt;=Settings!$B$7),"On target","Below target"))</f>
        <v/>
      </c>
      <c r="L288" s="19" t="str">
        <f aca="false">IF(B288="","",IF(OR(E288&gt;D288,G288&gt;F288,D288&lt;0,E288&lt;0,F288&lt;0,G288&lt;0),"Check numbers","OK"))</f>
        <v/>
      </c>
    </row>
    <row r="289" customFormat="false" ht="15" hidden="false" customHeight="false" outlineLevel="0" collapsed="false">
      <c r="A289" s="15"/>
      <c r="B289" s="16"/>
      <c r="C289" s="16"/>
      <c r="D289" s="20"/>
      <c r="E289" s="20"/>
      <c r="F289" s="20"/>
      <c r="G289" s="20"/>
      <c r="H289" s="10" t="str">
        <f aca="false">IF(B289="","",IFERROR(INDEX(Campaigns!$B$5:$B$24,MATCH(B289,Campaigns!$A$5:$A$24,0)),"ID not found"))</f>
        <v/>
      </c>
      <c r="I289" s="9" t="str">
        <f aca="false">IF(AND(B289&lt;&gt;"",D289&gt;0),E289/D289,"")</f>
        <v/>
      </c>
      <c r="J289" s="9" t="str">
        <f aca="false">IF(AND(B289&lt;&gt;"",F289&gt;0),G289/F289,"")</f>
        <v/>
      </c>
      <c r="K289" s="19" t="str">
        <f aca="false">IF(OR(I289="",J289=""),"",IF(AND(I289&gt;=Settings!$B$6,J289&gt;=Settings!$B$7),"On target","Below target"))</f>
        <v/>
      </c>
      <c r="L289" s="19" t="str">
        <f aca="false">IF(B289="","",IF(OR(E289&gt;D289,G289&gt;F289,D289&lt;0,E289&lt;0,F289&lt;0,G289&lt;0),"Check numbers","OK"))</f>
        <v/>
      </c>
    </row>
    <row r="290" customFormat="false" ht="15" hidden="false" customHeight="false" outlineLevel="0" collapsed="false">
      <c r="A290" s="15"/>
      <c r="B290" s="16"/>
      <c r="C290" s="16"/>
      <c r="D290" s="20"/>
      <c r="E290" s="20"/>
      <c r="F290" s="20"/>
      <c r="G290" s="20"/>
      <c r="H290" s="10" t="str">
        <f aca="false">IF(B290="","",IFERROR(INDEX(Campaigns!$B$5:$B$24,MATCH(B290,Campaigns!$A$5:$A$24,0)),"ID not found"))</f>
        <v/>
      </c>
      <c r="I290" s="9" t="str">
        <f aca="false">IF(AND(B290&lt;&gt;"",D290&gt;0),E290/D290,"")</f>
        <v/>
      </c>
      <c r="J290" s="9" t="str">
        <f aca="false">IF(AND(B290&lt;&gt;"",F290&gt;0),G290/F290,"")</f>
        <v/>
      </c>
      <c r="K290" s="19" t="str">
        <f aca="false">IF(OR(I290="",J290=""),"",IF(AND(I290&gt;=Settings!$B$6,J290&gt;=Settings!$B$7),"On target","Below target"))</f>
        <v/>
      </c>
      <c r="L290" s="19" t="str">
        <f aca="false">IF(B290="","",IF(OR(E290&gt;D290,G290&gt;F290,D290&lt;0,E290&lt;0,F290&lt;0,G290&lt;0),"Check numbers","OK"))</f>
        <v/>
      </c>
    </row>
    <row r="291" customFormat="false" ht="15" hidden="false" customHeight="false" outlineLevel="0" collapsed="false">
      <c r="A291" s="15"/>
      <c r="B291" s="16"/>
      <c r="C291" s="16"/>
      <c r="D291" s="20"/>
      <c r="E291" s="20"/>
      <c r="F291" s="20"/>
      <c r="G291" s="20"/>
      <c r="H291" s="10" t="str">
        <f aca="false">IF(B291="","",IFERROR(INDEX(Campaigns!$B$5:$B$24,MATCH(B291,Campaigns!$A$5:$A$24,0)),"ID not found"))</f>
        <v/>
      </c>
      <c r="I291" s="9" t="str">
        <f aca="false">IF(AND(B291&lt;&gt;"",D291&gt;0),E291/D291,"")</f>
        <v/>
      </c>
      <c r="J291" s="9" t="str">
        <f aca="false">IF(AND(B291&lt;&gt;"",F291&gt;0),G291/F291,"")</f>
        <v/>
      </c>
      <c r="K291" s="19" t="str">
        <f aca="false">IF(OR(I291="",J291=""),"",IF(AND(I291&gt;=Settings!$B$6,J291&gt;=Settings!$B$7),"On target","Below target"))</f>
        <v/>
      </c>
      <c r="L291" s="19" t="str">
        <f aca="false">IF(B291="","",IF(OR(E291&gt;D291,G291&gt;F291,D291&lt;0,E291&lt;0,F291&lt;0,G291&lt;0),"Check numbers","OK"))</f>
        <v/>
      </c>
    </row>
    <row r="292" customFormat="false" ht="15" hidden="false" customHeight="false" outlineLevel="0" collapsed="false">
      <c r="A292" s="15"/>
      <c r="B292" s="16"/>
      <c r="C292" s="16"/>
      <c r="D292" s="20"/>
      <c r="E292" s="20"/>
      <c r="F292" s="20"/>
      <c r="G292" s="20"/>
      <c r="H292" s="10" t="str">
        <f aca="false">IF(B292="","",IFERROR(INDEX(Campaigns!$B$5:$B$24,MATCH(B292,Campaigns!$A$5:$A$24,0)),"ID not found"))</f>
        <v/>
      </c>
      <c r="I292" s="9" t="str">
        <f aca="false">IF(AND(B292&lt;&gt;"",D292&gt;0),E292/D292,"")</f>
        <v/>
      </c>
      <c r="J292" s="9" t="str">
        <f aca="false">IF(AND(B292&lt;&gt;"",F292&gt;0),G292/F292,"")</f>
        <v/>
      </c>
      <c r="K292" s="19" t="str">
        <f aca="false">IF(OR(I292="",J292=""),"",IF(AND(I292&gt;=Settings!$B$6,J292&gt;=Settings!$B$7),"On target","Below target"))</f>
        <v/>
      </c>
      <c r="L292" s="19" t="str">
        <f aca="false">IF(B292="","",IF(OR(E292&gt;D292,G292&gt;F292,D292&lt;0,E292&lt;0,F292&lt;0,G292&lt;0),"Check numbers","OK"))</f>
        <v/>
      </c>
    </row>
    <row r="293" customFormat="false" ht="15" hidden="false" customHeight="false" outlineLevel="0" collapsed="false">
      <c r="A293" s="15"/>
      <c r="B293" s="16"/>
      <c r="C293" s="16"/>
      <c r="D293" s="20"/>
      <c r="E293" s="20"/>
      <c r="F293" s="20"/>
      <c r="G293" s="20"/>
      <c r="H293" s="10" t="str">
        <f aca="false">IF(B293="","",IFERROR(INDEX(Campaigns!$B$5:$B$24,MATCH(B293,Campaigns!$A$5:$A$24,0)),"ID not found"))</f>
        <v/>
      </c>
      <c r="I293" s="9" t="str">
        <f aca="false">IF(AND(B293&lt;&gt;"",D293&gt;0),E293/D293,"")</f>
        <v/>
      </c>
      <c r="J293" s="9" t="str">
        <f aca="false">IF(AND(B293&lt;&gt;"",F293&gt;0),G293/F293,"")</f>
        <v/>
      </c>
      <c r="K293" s="19" t="str">
        <f aca="false">IF(OR(I293="",J293=""),"",IF(AND(I293&gt;=Settings!$B$6,J293&gt;=Settings!$B$7),"On target","Below target"))</f>
        <v/>
      </c>
      <c r="L293" s="19" t="str">
        <f aca="false">IF(B293="","",IF(OR(E293&gt;D293,G293&gt;F293,D293&lt;0,E293&lt;0,F293&lt;0,G293&lt;0),"Check numbers","OK"))</f>
        <v/>
      </c>
    </row>
    <row r="294" customFormat="false" ht="15" hidden="false" customHeight="false" outlineLevel="0" collapsed="false">
      <c r="A294" s="15"/>
      <c r="B294" s="16"/>
      <c r="C294" s="16"/>
      <c r="D294" s="20"/>
      <c r="E294" s="20"/>
      <c r="F294" s="20"/>
      <c r="G294" s="20"/>
      <c r="H294" s="10" t="str">
        <f aca="false">IF(B294="","",IFERROR(INDEX(Campaigns!$B$5:$B$24,MATCH(B294,Campaigns!$A$5:$A$24,0)),"ID not found"))</f>
        <v/>
      </c>
      <c r="I294" s="9" t="str">
        <f aca="false">IF(AND(B294&lt;&gt;"",D294&gt;0),E294/D294,"")</f>
        <v/>
      </c>
      <c r="J294" s="9" t="str">
        <f aca="false">IF(AND(B294&lt;&gt;"",F294&gt;0),G294/F294,"")</f>
        <v/>
      </c>
      <c r="K294" s="19" t="str">
        <f aca="false">IF(OR(I294="",J294=""),"",IF(AND(I294&gt;=Settings!$B$6,J294&gt;=Settings!$B$7),"On target","Below target"))</f>
        <v/>
      </c>
      <c r="L294" s="19" t="str">
        <f aca="false">IF(B294="","",IF(OR(E294&gt;D294,G294&gt;F294,D294&lt;0,E294&lt;0,F294&lt;0,G294&lt;0),"Check numbers","OK"))</f>
        <v/>
      </c>
    </row>
    <row r="295" customFormat="false" ht="15" hidden="false" customHeight="false" outlineLevel="0" collapsed="false">
      <c r="A295" s="15"/>
      <c r="B295" s="16"/>
      <c r="C295" s="16"/>
      <c r="D295" s="20"/>
      <c r="E295" s="20"/>
      <c r="F295" s="20"/>
      <c r="G295" s="20"/>
      <c r="H295" s="10" t="str">
        <f aca="false">IF(B295="","",IFERROR(INDEX(Campaigns!$B$5:$B$24,MATCH(B295,Campaigns!$A$5:$A$24,0)),"ID not found"))</f>
        <v/>
      </c>
      <c r="I295" s="9" t="str">
        <f aca="false">IF(AND(B295&lt;&gt;"",D295&gt;0),E295/D295,"")</f>
        <v/>
      </c>
      <c r="J295" s="9" t="str">
        <f aca="false">IF(AND(B295&lt;&gt;"",F295&gt;0),G295/F295,"")</f>
        <v/>
      </c>
      <c r="K295" s="19" t="str">
        <f aca="false">IF(OR(I295="",J295=""),"",IF(AND(I295&gt;=Settings!$B$6,J295&gt;=Settings!$B$7),"On target","Below target"))</f>
        <v/>
      </c>
      <c r="L295" s="19" t="str">
        <f aca="false">IF(B295="","",IF(OR(E295&gt;D295,G295&gt;F295,D295&lt;0,E295&lt;0,F295&lt;0,G295&lt;0),"Check numbers","OK"))</f>
        <v/>
      </c>
    </row>
    <row r="296" customFormat="false" ht="15" hidden="false" customHeight="false" outlineLevel="0" collapsed="false">
      <c r="A296" s="15"/>
      <c r="B296" s="16"/>
      <c r="C296" s="16"/>
      <c r="D296" s="20"/>
      <c r="E296" s="20"/>
      <c r="F296" s="20"/>
      <c r="G296" s="20"/>
      <c r="H296" s="10" t="str">
        <f aca="false">IF(B296="","",IFERROR(INDEX(Campaigns!$B$5:$B$24,MATCH(B296,Campaigns!$A$5:$A$24,0)),"ID not found"))</f>
        <v/>
      </c>
      <c r="I296" s="9" t="str">
        <f aca="false">IF(AND(B296&lt;&gt;"",D296&gt;0),E296/D296,"")</f>
        <v/>
      </c>
      <c r="J296" s="9" t="str">
        <f aca="false">IF(AND(B296&lt;&gt;"",F296&gt;0),G296/F296,"")</f>
        <v/>
      </c>
      <c r="K296" s="19" t="str">
        <f aca="false">IF(OR(I296="",J296=""),"",IF(AND(I296&gt;=Settings!$B$6,J296&gt;=Settings!$B$7),"On target","Below target"))</f>
        <v/>
      </c>
      <c r="L296" s="19" t="str">
        <f aca="false">IF(B296="","",IF(OR(E296&gt;D296,G296&gt;F296,D296&lt;0,E296&lt;0,F296&lt;0,G296&lt;0),"Check numbers","OK"))</f>
        <v/>
      </c>
    </row>
    <row r="297" customFormat="false" ht="15" hidden="false" customHeight="false" outlineLevel="0" collapsed="false">
      <c r="A297" s="15"/>
      <c r="B297" s="16"/>
      <c r="C297" s="16"/>
      <c r="D297" s="20"/>
      <c r="E297" s="20"/>
      <c r="F297" s="20"/>
      <c r="G297" s="20"/>
      <c r="H297" s="10" t="str">
        <f aca="false">IF(B297="","",IFERROR(INDEX(Campaigns!$B$5:$B$24,MATCH(B297,Campaigns!$A$5:$A$24,0)),"ID not found"))</f>
        <v/>
      </c>
      <c r="I297" s="9" t="str">
        <f aca="false">IF(AND(B297&lt;&gt;"",D297&gt;0),E297/D297,"")</f>
        <v/>
      </c>
      <c r="J297" s="9" t="str">
        <f aca="false">IF(AND(B297&lt;&gt;"",F297&gt;0),G297/F297,"")</f>
        <v/>
      </c>
      <c r="K297" s="19" t="str">
        <f aca="false">IF(OR(I297="",J297=""),"",IF(AND(I297&gt;=Settings!$B$6,J297&gt;=Settings!$B$7),"On target","Below target"))</f>
        <v/>
      </c>
      <c r="L297" s="19" t="str">
        <f aca="false">IF(B297="","",IF(OR(E297&gt;D297,G297&gt;F297,D297&lt;0,E297&lt;0,F297&lt;0,G297&lt;0),"Check numbers","OK"))</f>
        <v/>
      </c>
    </row>
    <row r="298" customFormat="false" ht="15" hidden="false" customHeight="false" outlineLevel="0" collapsed="false">
      <c r="A298" s="15"/>
      <c r="B298" s="16"/>
      <c r="C298" s="16"/>
      <c r="D298" s="20"/>
      <c r="E298" s="20"/>
      <c r="F298" s="20"/>
      <c r="G298" s="20"/>
      <c r="H298" s="10" t="str">
        <f aca="false">IF(B298="","",IFERROR(INDEX(Campaigns!$B$5:$B$24,MATCH(B298,Campaigns!$A$5:$A$24,0)),"ID not found"))</f>
        <v/>
      </c>
      <c r="I298" s="9" t="str">
        <f aca="false">IF(AND(B298&lt;&gt;"",D298&gt;0),E298/D298,"")</f>
        <v/>
      </c>
      <c r="J298" s="9" t="str">
        <f aca="false">IF(AND(B298&lt;&gt;"",F298&gt;0),G298/F298,"")</f>
        <v/>
      </c>
      <c r="K298" s="19" t="str">
        <f aca="false">IF(OR(I298="",J298=""),"",IF(AND(I298&gt;=Settings!$B$6,J298&gt;=Settings!$B$7),"On target","Below target"))</f>
        <v/>
      </c>
      <c r="L298" s="19" t="str">
        <f aca="false">IF(B298="","",IF(OR(E298&gt;D298,G298&gt;F298,D298&lt;0,E298&lt;0,F298&lt;0,G298&lt;0),"Check numbers","OK"))</f>
        <v/>
      </c>
    </row>
    <row r="299" customFormat="false" ht="15" hidden="false" customHeight="false" outlineLevel="0" collapsed="false">
      <c r="A299" s="15"/>
      <c r="B299" s="16"/>
      <c r="C299" s="16"/>
      <c r="D299" s="20"/>
      <c r="E299" s="20"/>
      <c r="F299" s="20"/>
      <c r="G299" s="20"/>
      <c r="H299" s="10" t="str">
        <f aca="false">IF(B299="","",IFERROR(INDEX(Campaigns!$B$5:$B$24,MATCH(B299,Campaigns!$A$5:$A$24,0)),"ID not found"))</f>
        <v/>
      </c>
      <c r="I299" s="9" t="str">
        <f aca="false">IF(AND(B299&lt;&gt;"",D299&gt;0),E299/D299,"")</f>
        <v/>
      </c>
      <c r="J299" s="9" t="str">
        <f aca="false">IF(AND(B299&lt;&gt;"",F299&gt;0),G299/F299,"")</f>
        <v/>
      </c>
      <c r="K299" s="19" t="str">
        <f aca="false">IF(OR(I299="",J299=""),"",IF(AND(I299&gt;=Settings!$B$6,J299&gt;=Settings!$B$7),"On target","Below target"))</f>
        <v/>
      </c>
      <c r="L299" s="19" t="str">
        <f aca="false">IF(B299="","",IF(OR(E299&gt;D299,G299&gt;F299,D299&lt;0,E299&lt;0,F299&lt;0,G299&lt;0),"Check numbers","OK"))</f>
        <v/>
      </c>
    </row>
    <row r="300" customFormat="false" ht="15" hidden="false" customHeight="false" outlineLevel="0" collapsed="false">
      <c r="A300" s="15"/>
      <c r="B300" s="16"/>
      <c r="C300" s="16"/>
      <c r="D300" s="20"/>
      <c r="E300" s="20"/>
      <c r="F300" s="20"/>
      <c r="G300" s="20"/>
      <c r="H300" s="10" t="str">
        <f aca="false">IF(B300="","",IFERROR(INDEX(Campaigns!$B$5:$B$24,MATCH(B300,Campaigns!$A$5:$A$24,0)),"ID not found"))</f>
        <v/>
      </c>
      <c r="I300" s="9" t="str">
        <f aca="false">IF(AND(B300&lt;&gt;"",D300&gt;0),E300/D300,"")</f>
        <v/>
      </c>
      <c r="J300" s="9" t="str">
        <f aca="false">IF(AND(B300&lt;&gt;"",F300&gt;0),G300/F300,"")</f>
        <v/>
      </c>
      <c r="K300" s="19" t="str">
        <f aca="false">IF(OR(I300="",J300=""),"",IF(AND(I300&gt;=Settings!$B$6,J300&gt;=Settings!$B$7),"On target","Below target"))</f>
        <v/>
      </c>
      <c r="L300" s="19" t="str">
        <f aca="false">IF(B300="","",IF(OR(E300&gt;D300,G300&gt;F300,D300&lt;0,E300&lt;0,F300&lt;0,G300&lt;0),"Check numbers","OK"))</f>
        <v/>
      </c>
    </row>
    <row r="301" customFormat="false" ht="15" hidden="false" customHeight="false" outlineLevel="0" collapsed="false">
      <c r="A301" s="15"/>
      <c r="B301" s="16"/>
      <c r="C301" s="16"/>
      <c r="D301" s="20"/>
      <c r="E301" s="20"/>
      <c r="F301" s="20"/>
      <c r="G301" s="20"/>
      <c r="H301" s="10" t="str">
        <f aca="false">IF(B301="","",IFERROR(INDEX(Campaigns!$B$5:$B$24,MATCH(B301,Campaigns!$A$5:$A$24,0)),"ID not found"))</f>
        <v/>
      </c>
      <c r="I301" s="9" t="str">
        <f aca="false">IF(AND(B301&lt;&gt;"",D301&gt;0),E301/D301,"")</f>
        <v/>
      </c>
      <c r="J301" s="9" t="str">
        <f aca="false">IF(AND(B301&lt;&gt;"",F301&gt;0),G301/F301,"")</f>
        <v/>
      </c>
      <c r="K301" s="19" t="str">
        <f aca="false">IF(OR(I301="",J301=""),"",IF(AND(I301&gt;=Settings!$B$6,J301&gt;=Settings!$B$7),"On target","Below target"))</f>
        <v/>
      </c>
      <c r="L301" s="19" t="str">
        <f aca="false">IF(B301="","",IF(OR(E301&gt;D301,G301&gt;F301,D301&lt;0,E301&lt;0,F301&lt;0,G301&lt;0),"Check numbers","OK"))</f>
        <v/>
      </c>
    </row>
    <row r="302" customFormat="false" ht="15" hidden="false" customHeight="false" outlineLevel="0" collapsed="false">
      <c r="A302" s="15"/>
      <c r="B302" s="16"/>
      <c r="C302" s="16"/>
      <c r="D302" s="20"/>
      <c r="E302" s="20"/>
      <c r="F302" s="20"/>
      <c r="G302" s="20"/>
      <c r="H302" s="10" t="str">
        <f aca="false">IF(B302="","",IFERROR(INDEX(Campaigns!$B$5:$B$24,MATCH(B302,Campaigns!$A$5:$A$24,0)),"ID not found"))</f>
        <v/>
      </c>
      <c r="I302" s="9" t="str">
        <f aca="false">IF(AND(B302&lt;&gt;"",D302&gt;0),E302/D302,"")</f>
        <v/>
      </c>
      <c r="J302" s="9" t="str">
        <f aca="false">IF(AND(B302&lt;&gt;"",F302&gt;0),G302/F302,"")</f>
        <v/>
      </c>
      <c r="K302" s="19" t="str">
        <f aca="false">IF(OR(I302="",J302=""),"",IF(AND(I302&gt;=Settings!$B$6,J302&gt;=Settings!$B$7),"On target","Below target"))</f>
        <v/>
      </c>
      <c r="L302" s="19" t="str">
        <f aca="false">IF(B302="","",IF(OR(E302&gt;D302,G302&gt;F302,D302&lt;0,E302&lt;0,F302&lt;0,G302&lt;0),"Check numbers","OK"))</f>
        <v/>
      </c>
    </row>
    <row r="303" customFormat="false" ht="15" hidden="false" customHeight="false" outlineLevel="0" collapsed="false">
      <c r="A303" s="15"/>
      <c r="B303" s="16"/>
      <c r="C303" s="16"/>
      <c r="D303" s="20"/>
      <c r="E303" s="20"/>
      <c r="F303" s="20"/>
      <c r="G303" s="20"/>
      <c r="H303" s="10" t="str">
        <f aca="false">IF(B303="","",IFERROR(INDEX(Campaigns!$B$5:$B$24,MATCH(B303,Campaigns!$A$5:$A$24,0)),"ID not found"))</f>
        <v/>
      </c>
      <c r="I303" s="9" t="str">
        <f aca="false">IF(AND(B303&lt;&gt;"",D303&gt;0),E303/D303,"")</f>
        <v/>
      </c>
      <c r="J303" s="9" t="str">
        <f aca="false">IF(AND(B303&lt;&gt;"",F303&gt;0),G303/F303,"")</f>
        <v/>
      </c>
      <c r="K303" s="19" t="str">
        <f aca="false">IF(OR(I303="",J303=""),"",IF(AND(I303&gt;=Settings!$B$6,J303&gt;=Settings!$B$7),"On target","Below target"))</f>
        <v/>
      </c>
      <c r="L303" s="19" t="str">
        <f aca="false">IF(B303="","",IF(OR(E303&gt;D303,G303&gt;F303,D303&lt;0,E303&lt;0,F303&lt;0,G303&lt;0),"Check numbers","OK"))</f>
        <v/>
      </c>
    </row>
    <row r="304" customFormat="false" ht="15" hidden="false" customHeight="false" outlineLevel="0" collapsed="false">
      <c r="A304" s="15"/>
      <c r="B304" s="16"/>
      <c r="C304" s="16"/>
      <c r="D304" s="20"/>
      <c r="E304" s="20"/>
      <c r="F304" s="20"/>
      <c r="G304" s="20"/>
      <c r="H304" s="10" t="str">
        <f aca="false">IF(B304="","",IFERROR(INDEX(Campaigns!$B$5:$B$24,MATCH(B304,Campaigns!$A$5:$A$24,0)),"ID not found"))</f>
        <v/>
      </c>
      <c r="I304" s="9" t="str">
        <f aca="false">IF(AND(B304&lt;&gt;"",D304&gt;0),E304/D304,"")</f>
        <v/>
      </c>
      <c r="J304" s="9" t="str">
        <f aca="false">IF(AND(B304&lt;&gt;"",F304&gt;0),G304/F304,"")</f>
        <v/>
      </c>
      <c r="K304" s="19" t="str">
        <f aca="false">IF(OR(I304="",J304=""),"",IF(AND(I304&gt;=Settings!$B$6,J304&gt;=Settings!$B$7),"On target","Below target"))</f>
        <v/>
      </c>
      <c r="L304" s="19" t="str">
        <f aca="false">IF(B304="","",IF(OR(E304&gt;D304,G304&gt;F304,D304&lt;0,E304&lt;0,F304&lt;0,G304&lt;0),"Check numbers","OK"))</f>
        <v/>
      </c>
    </row>
  </sheetData>
  <autoFilter ref="A4:L304"/>
  <conditionalFormatting sqref="K5:K304">
    <cfRule type="cellIs" priority="2" operator="equal" aboveAverage="0" equalAverage="0" bottom="0" percent="0" rank="0" text="" dxfId="12">
      <formula>"On target"</formula>
    </cfRule>
    <cfRule type="cellIs" priority="3" operator="equal" aboveAverage="0" equalAverage="0" bottom="0" percent="0" rank="0" text="" dxfId="13">
      <formula>"Below target"</formula>
    </cfRule>
  </conditionalFormatting>
  <conditionalFormatting sqref="L5:L304">
    <cfRule type="cellIs" priority="4" operator="equal" aboveAverage="0" equalAverage="0" bottom="0" percent="0" rank="0" text="" dxfId="0">
      <formula>"Check numbers"</formula>
    </cfRule>
  </conditionalFormatting>
  <dataValidations count="2">
    <dataValidation allowBlank="true" error="This channel is not on the Settings list. It will be counted under Other on the Dashboard." errorStyle="warning" errorTitle="Not on the list" operator="between" showDropDown="false" showErrorMessage="false" showInputMessage="false" sqref="C5:C304" type="list">
      <formula1>Settings!$E$5:$E$8</formula1>
      <formula2>0</formula2>
    </dataValidation>
    <dataValidation allowBlank="true" error="This Campaign ID is not on the Campaigns sheet." errorStyle="warning" errorTitle="ID not on Campaigns" operator="between" showDropDown="false" showErrorMessage="false" showInputMessage="false" sqref="B5:B304" type="list">
      <formula1>Campaigns!$A$5:$A$24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16"/>
    <col collapsed="false" customWidth="true" hidden="false" outlineLevel="0" max="4" min="4" style="0" width="14"/>
    <col collapsed="false" customWidth="true" hidden="false" outlineLevel="0" max="5" min="5" style="0" width="50"/>
  </cols>
  <sheetData>
    <row r="1" customFormat="false" ht="17.35" hidden="false" customHeight="false" outlineLevel="0" collapsed="false">
      <c r="A1" s="1" t="s">
        <v>147</v>
      </c>
    </row>
    <row r="2" customFormat="false" ht="15" hidden="false" customHeight="false" outlineLevel="0" collapsed="false">
      <c r="A2" s="2" t="s">
        <v>148</v>
      </c>
    </row>
    <row r="3" customFormat="false" ht="15" hidden="false" customHeight="false" outlineLevel="0" collapsed="false">
      <c r="A3" s="18" t="s">
        <v>99</v>
      </c>
    </row>
    <row r="4" customFormat="false" ht="31.5" hidden="false" customHeight="true" outlineLevel="0" collapsed="false">
      <c r="A4" s="7" t="s">
        <v>149</v>
      </c>
      <c r="B4" s="7" t="s">
        <v>150</v>
      </c>
      <c r="C4" s="7" t="s">
        <v>33</v>
      </c>
      <c r="D4" s="7" t="s">
        <v>151</v>
      </c>
      <c r="E4" s="7" t="s">
        <v>152</v>
      </c>
    </row>
    <row r="5" customFormat="false" ht="15" hidden="false" customHeight="false" outlineLevel="0" collapsed="false">
      <c r="A5" s="16" t="s">
        <v>153</v>
      </c>
      <c r="B5" s="16" t="s">
        <v>154</v>
      </c>
      <c r="C5" s="16" t="s">
        <v>155</v>
      </c>
      <c r="D5" s="15" t="n">
        <v>46315</v>
      </c>
      <c r="E5" s="16"/>
    </row>
    <row r="6" customFormat="false" ht="15" hidden="false" customHeight="false" outlineLevel="0" collapsed="false">
      <c r="A6" s="16" t="s">
        <v>153</v>
      </c>
      <c r="B6" s="16" t="s">
        <v>156</v>
      </c>
      <c r="C6" s="16" t="s">
        <v>155</v>
      </c>
      <c r="D6" s="15" t="n">
        <v>46315</v>
      </c>
      <c r="E6" s="16"/>
    </row>
    <row r="7" customFormat="false" ht="15" hidden="false" customHeight="false" outlineLevel="0" collapsed="false">
      <c r="A7" s="16" t="s">
        <v>157</v>
      </c>
      <c r="B7" s="16" t="s">
        <v>158</v>
      </c>
      <c r="C7" s="16" t="s">
        <v>159</v>
      </c>
      <c r="D7" s="15" t="n">
        <v>46315</v>
      </c>
      <c r="E7" s="16" t="s">
        <v>160</v>
      </c>
    </row>
    <row r="8" customFormat="false" ht="15" hidden="false" customHeight="false" outlineLevel="0" collapsed="false">
      <c r="A8" s="16" t="s">
        <v>157</v>
      </c>
      <c r="B8" s="16" t="s">
        <v>161</v>
      </c>
      <c r="C8" s="16" t="s">
        <v>155</v>
      </c>
      <c r="D8" s="15" t="n">
        <v>46315</v>
      </c>
      <c r="E8" s="16"/>
    </row>
    <row r="9" customFormat="false" ht="15" hidden="false" customHeight="false" outlineLevel="0" collapsed="false">
      <c r="A9" s="16" t="s">
        <v>157</v>
      </c>
      <c r="B9" s="16" t="s">
        <v>162</v>
      </c>
      <c r="C9" s="16" t="s">
        <v>155</v>
      </c>
      <c r="D9" s="15" t="n">
        <v>46315</v>
      </c>
      <c r="E9" s="16"/>
    </row>
    <row r="10" customFormat="false" ht="15" hidden="false" customHeight="false" outlineLevel="0" collapsed="false">
      <c r="A10" s="16" t="s">
        <v>163</v>
      </c>
      <c r="B10" s="16" t="s">
        <v>164</v>
      </c>
      <c r="C10" s="16" t="s">
        <v>155</v>
      </c>
      <c r="D10" s="15" t="n">
        <v>46315</v>
      </c>
      <c r="E10" s="16"/>
    </row>
    <row r="11" customFormat="false" ht="15" hidden="false" customHeight="false" outlineLevel="0" collapsed="false">
      <c r="A11" s="16" t="s">
        <v>163</v>
      </c>
      <c r="B11" s="16" t="s">
        <v>165</v>
      </c>
      <c r="C11" s="16" t="s">
        <v>159</v>
      </c>
      <c r="D11" s="15" t="n">
        <v>46315</v>
      </c>
      <c r="E11" s="16" t="s">
        <v>160</v>
      </c>
    </row>
    <row r="12" customFormat="false" ht="15" hidden="false" customHeight="false" outlineLevel="0" collapsed="false">
      <c r="A12" s="16" t="s">
        <v>163</v>
      </c>
      <c r="B12" s="16" t="s">
        <v>166</v>
      </c>
      <c r="C12" s="16" t="s">
        <v>155</v>
      </c>
      <c r="D12" s="15" t="n">
        <v>46315</v>
      </c>
      <c r="E12" s="16"/>
    </row>
    <row r="13" customFormat="false" ht="15" hidden="false" customHeight="false" outlineLevel="0" collapsed="false">
      <c r="A13" s="16" t="s">
        <v>167</v>
      </c>
      <c r="B13" s="16" t="s">
        <v>168</v>
      </c>
      <c r="C13" s="16" t="s">
        <v>159</v>
      </c>
      <c r="D13" s="15" t="n">
        <v>46315</v>
      </c>
      <c r="E13" s="16" t="s">
        <v>160</v>
      </c>
    </row>
    <row r="14" customFormat="false" ht="15" hidden="false" customHeight="false" outlineLevel="0" collapsed="false">
      <c r="A14" s="16" t="s">
        <v>167</v>
      </c>
      <c r="B14" s="16" t="s">
        <v>169</v>
      </c>
      <c r="C14" s="16" t="s">
        <v>155</v>
      </c>
      <c r="D14" s="15" t="n">
        <v>46315</v>
      </c>
      <c r="E14" s="16"/>
    </row>
    <row r="15" customFormat="false" ht="15" hidden="false" customHeight="false" outlineLevel="0" collapsed="false">
      <c r="A15" s="16" t="s">
        <v>170</v>
      </c>
      <c r="B15" s="16" t="s">
        <v>171</v>
      </c>
      <c r="C15" s="16" t="s">
        <v>155</v>
      </c>
      <c r="D15" s="15" t="n">
        <v>46315</v>
      </c>
      <c r="E15" s="16"/>
    </row>
    <row r="16" customFormat="false" ht="15" hidden="false" customHeight="false" outlineLevel="0" collapsed="false">
      <c r="A16" s="16" t="s">
        <v>170</v>
      </c>
      <c r="B16" s="16" t="s">
        <v>172</v>
      </c>
      <c r="C16" s="16" t="s">
        <v>155</v>
      </c>
      <c r="D16" s="15" t="n">
        <v>46315</v>
      </c>
      <c r="E16" s="16"/>
    </row>
    <row r="17" customFormat="false" ht="15" hidden="false" customHeight="false" outlineLevel="0" collapsed="false">
      <c r="A17" s="16" t="s">
        <v>173</v>
      </c>
      <c r="B17" s="16" t="s">
        <v>174</v>
      </c>
      <c r="C17" s="16" t="s">
        <v>175</v>
      </c>
      <c r="D17" s="15" t="n">
        <v>46315</v>
      </c>
      <c r="E17" s="16" t="s">
        <v>176</v>
      </c>
    </row>
    <row r="18" customFormat="false" ht="15" hidden="false" customHeight="false" outlineLevel="0" collapsed="false">
      <c r="A18" s="16" t="s">
        <v>173</v>
      </c>
      <c r="B18" s="16" t="s">
        <v>177</v>
      </c>
      <c r="C18" s="16" t="s">
        <v>155</v>
      </c>
      <c r="D18" s="15" t="n">
        <v>46315</v>
      </c>
      <c r="E18" s="16"/>
    </row>
    <row r="19" customFormat="false" ht="15" hidden="false" customHeight="false" outlineLevel="0" collapsed="false">
      <c r="A19" s="16" t="s">
        <v>178</v>
      </c>
      <c r="B19" s="16" t="s">
        <v>179</v>
      </c>
      <c r="C19" s="16" t="s">
        <v>155</v>
      </c>
      <c r="D19" s="15" t="n">
        <v>46315</v>
      </c>
      <c r="E19" s="16"/>
    </row>
    <row r="20" customFormat="false" ht="15" hidden="false" customHeight="false" outlineLevel="0" collapsed="false">
      <c r="A20" s="16"/>
      <c r="B20" s="16"/>
      <c r="C20" s="16"/>
      <c r="D20" s="15"/>
      <c r="E20" s="16"/>
    </row>
    <row r="21" customFormat="false" ht="15" hidden="false" customHeight="false" outlineLevel="0" collapsed="false">
      <c r="A21" s="16"/>
      <c r="B21" s="16"/>
      <c r="C21" s="16"/>
      <c r="D21" s="15"/>
      <c r="E21" s="16"/>
    </row>
    <row r="22" customFormat="false" ht="15" hidden="false" customHeight="false" outlineLevel="0" collapsed="false">
      <c r="A22" s="16"/>
      <c r="B22" s="16"/>
      <c r="C22" s="16"/>
      <c r="D22" s="15"/>
      <c r="E22" s="16"/>
    </row>
    <row r="23" customFormat="false" ht="15" hidden="false" customHeight="false" outlineLevel="0" collapsed="false">
      <c r="A23" s="16"/>
      <c r="B23" s="16"/>
      <c r="C23" s="16"/>
      <c r="D23" s="15"/>
      <c r="E23" s="16"/>
    </row>
    <row r="24" customFormat="false" ht="15" hidden="false" customHeight="false" outlineLevel="0" collapsed="false">
      <c r="A24" s="16"/>
      <c r="B24" s="16"/>
      <c r="C24" s="16"/>
      <c r="D24" s="15"/>
      <c r="E24" s="16"/>
    </row>
    <row r="25" customFormat="false" ht="15" hidden="false" customHeight="false" outlineLevel="0" collapsed="false">
      <c r="A25" s="16"/>
      <c r="B25" s="16"/>
      <c r="C25" s="16"/>
      <c r="D25" s="15"/>
      <c r="E25" s="16"/>
    </row>
    <row r="26" customFormat="false" ht="15" hidden="false" customHeight="false" outlineLevel="0" collapsed="false">
      <c r="A26" s="16"/>
      <c r="B26" s="16"/>
      <c r="C26" s="16"/>
      <c r="D26" s="15"/>
      <c r="E26" s="16"/>
    </row>
    <row r="27" customFormat="false" ht="15" hidden="false" customHeight="false" outlineLevel="0" collapsed="false">
      <c r="A27" s="16"/>
      <c r="B27" s="16"/>
      <c r="C27" s="16"/>
      <c r="D27" s="15"/>
      <c r="E27" s="16"/>
    </row>
    <row r="28" customFormat="false" ht="15" hidden="false" customHeight="false" outlineLevel="0" collapsed="false">
      <c r="A28" s="16"/>
      <c r="B28" s="16"/>
      <c r="C28" s="16"/>
      <c r="D28" s="15"/>
      <c r="E28" s="16"/>
    </row>
    <row r="29" customFormat="false" ht="15" hidden="false" customHeight="false" outlineLevel="0" collapsed="false">
      <c r="A29" s="16"/>
      <c r="B29" s="16"/>
      <c r="C29" s="16"/>
      <c r="D29" s="15"/>
      <c r="E29" s="16"/>
    </row>
    <row r="30" customFormat="false" ht="15" hidden="false" customHeight="false" outlineLevel="0" collapsed="false">
      <c r="A30" s="16"/>
      <c r="B30" s="16"/>
      <c r="C30" s="16"/>
      <c r="D30" s="15"/>
      <c r="E30" s="16"/>
    </row>
    <row r="31" customFormat="false" ht="15" hidden="false" customHeight="false" outlineLevel="0" collapsed="false">
      <c r="A31" s="16"/>
      <c r="B31" s="16"/>
      <c r="C31" s="16"/>
      <c r="D31" s="15"/>
      <c r="E31" s="16"/>
    </row>
    <row r="32" customFormat="false" ht="15" hidden="false" customHeight="false" outlineLevel="0" collapsed="false">
      <c r="A32" s="16"/>
      <c r="B32" s="16"/>
      <c r="C32" s="16"/>
      <c r="D32" s="15"/>
      <c r="E32" s="16"/>
    </row>
    <row r="33" customFormat="false" ht="15" hidden="false" customHeight="false" outlineLevel="0" collapsed="false">
      <c r="A33" s="16"/>
      <c r="B33" s="16"/>
      <c r="C33" s="16"/>
      <c r="D33" s="15"/>
      <c r="E33" s="16"/>
    </row>
    <row r="34" customFormat="false" ht="15" hidden="false" customHeight="false" outlineLevel="0" collapsed="false">
      <c r="A34" s="16"/>
      <c r="B34" s="16"/>
      <c r="C34" s="16"/>
      <c r="D34" s="15"/>
      <c r="E34" s="16"/>
    </row>
    <row r="35" customFormat="false" ht="15" hidden="false" customHeight="false" outlineLevel="0" collapsed="false">
      <c r="A35" s="16"/>
      <c r="B35" s="16"/>
      <c r="C35" s="16"/>
      <c r="D35" s="15"/>
      <c r="E35" s="16"/>
    </row>
    <row r="36" customFormat="false" ht="15" hidden="false" customHeight="false" outlineLevel="0" collapsed="false">
      <c r="A36" s="16"/>
      <c r="B36" s="16"/>
      <c r="C36" s="16"/>
      <c r="D36" s="15"/>
      <c r="E36" s="16"/>
    </row>
    <row r="37" customFormat="false" ht="15" hidden="false" customHeight="false" outlineLevel="0" collapsed="false">
      <c r="A37" s="16"/>
      <c r="B37" s="16"/>
      <c r="C37" s="16"/>
      <c r="D37" s="15"/>
      <c r="E37" s="16"/>
    </row>
    <row r="38" customFormat="false" ht="15" hidden="false" customHeight="false" outlineLevel="0" collapsed="false">
      <c r="A38" s="16"/>
      <c r="B38" s="16"/>
      <c r="C38" s="16"/>
      <c r="D38" s="15"/>
      <c r="E38" s="16"/>
    </row>
    <row r="39" customFormat="false" ht="15" hidden="false" customHeight="false" outlineLevel="0" collapsed="false">
      <c r="A39" s="16"/>
      <c r="B39" s="16"/>
      <c r="C39" s="16"/>
      <c r="D39" s="15"/>
      <c r="E39" s="16"/>
    </row>
    <row r="40" customFormat="false" ht="15" hidden="false" customHeight="false" outlineLevel="0" collapsed="false">
      <c r="A40" s="16"/>
      <c r="B40" s="16"/>
      <c r="C40" s="16"/>
      <c r="D40" s="15"/>
      <c r="E40" s="16"/>
    </row>
    <row r="41" customFormat="false" ht="15" hidden="false" customHeight="false" outlineLevel="0" collapsed="false">
      <c r="A41" s="16"/>
      <c r="B41" s="16"/>
      <c r="C41" s="16"/>
      <c r="D41" s="15"/>
      <c r="E41" s="16"/>
    </row>
    <row r="42" customFormat="false" ht="15" hidden="false" customHeight="false" outlineLevel="0" collapsed="false">
      <c r="A42" s="16"/>
      <c r="B42" s="16"/>
      <c r="C42" s="16"/>
      <c r="D42" s="15"/>
      <c r="E42" s="16"/>
    </row>
    <row r="43" customFormat="false" ht="15" hidden="false" customHeight="false" outlineLevel="0" collapsed="false">
      <c r="A43" s="16"/>
      <c r="B43" s="16"/>
      <c r="C43" s="16"/>
      <c r="D43" s="15"/>
      <c r="E43" s="16"/>
    </row>
    <row r="44" customFormat="false" ht="15" hidden="false" customHeight="false" outlineLevel="0" collapsed="false">
      <c r="A44" s="16"/>
      <c r="B44" s="16"/>
      <c r="C44" s="16"/>
      <c r="D44" s="15"/>
      <c r="E44" s="16"/>
    </row>
    <row r="45" customFormat="false" ht="15" hidden="false" customHeight="false" outlineLevel="0" collapsed="false">
      <c r="A45" s="16"/>
      <c r="B45" s="16"/>
      <c r="C45" s="16"/>
      <c r="D45" s="15"/>
      <c r="E45" s="16"/>
    </row>
    <row r="46" customFormat="false" ht="15" hidden="false" customHeight="false" outlineLevel="0" collapsed="false">
      <c r="A46" s="16"/>
      <c r="B46" s="16"/>
      <c r="C46" s="16"/>
      <c r="D46" s="15"/>
      <c r="E46" s="16"/>
    </row>
    <row r="47" customFormat="false" ht="15" hidden="false" customHeight="false" outlineLevel="0" collapsed="false">
      <c r="A47" s="16"/>
      <c r="B47" s="16"/>
      <c r="C47" s="16"/>
      <c r="D47" s="15"/>
      <c r="E47" s="16"/>
    </row>
    <row r="48" customFormat="false" ht="15" hidden="false" customHeight="false" outlineLevel="0" collapsed="false">
      <c r="A48" s="16"/>
      <c r="B48" s="16"/>
      <c r="C48" s="16"/>
      <c r="D48" s="15"/>
      <c r="E48" s="16"/>
    </row>
    <row r="49" customFormat="false" ht="15" hidden="false" customHeight="false" outlineLevel="0" collapsed="false">
      <c r="A49" s="16"/>
      <c r="B49" s="16"/>
      <c r="C49" s="16"/>
      <c r="D49" s="15"/>
      <c r="E49" s="16"/>
    </row>
    <row r="50" customFormat="false" ht="15" hidden="false" customHeight="false" outlineLevel="0" collapsed="false">
      <c r="A50" s="16"/>
      <c r="B50" s="16"/>
      <c r="C50" s="16"/>
      <c r="D50" s="15"/>
      <c r="E50" s="16"/>
    </row>
    <row r="51" customFormat="false" ht="15" hidden="false" customHeight="false" outlineLevel="0" collapsed="false">
      <c r="A51" s="16"/>
      <c r="B51" s="16"/>
      <c r="C51" s="16"/>
      <c r="D51" s="15"/>
      <c r="E51" s="16"/>
    </row>
    <row r="52" customFormat="false" ht="15" hidden="false" customHeight="false" outlineLevel="0" collapsed="false">
      <c r="A52" s="16"/>
      <c r="B52" s="16"/>
      <c r="C52" s="16"/>
      <c r="D52" s="15"/>
      <c r="E52" s="16"/>
    </row>
    <row r="53" customFormat="false" ht="15" hidden="false" customHeight="false" outlineLevel="0" collapsed="false">
      <c r="A53" s="16"/>
      <c r="B53" s="16"/>
      <c r="C53" s="16"/>
      <c r="D53" s="15"/>
      <c r="E53" s="16"/>
    </row>
    <row r="54" customFormat="false" ht="15" hidden="false" customHeight="false" outlineLevel="0" collapsed="false">
      <c r="A54" s="16"/>
      <c r="B54" s="16"/>
      <c r="C54" s="16"/>
      <c r="D54" s="15"/>
      <c r="E54" s="16"/>
    </row>
    <row r="55" customFormat="false" ht="15" hidden="false" customHeight="false" outlineLevel="0" collapsed="false">
      <c r="A55" s="16"/>
      <c r="B55" s="16"/>
      <c r="C55" s="16"/>
      <c r="D55" s="15"/>
      <c r="E55" s="16"/>
    </row>
    <row r="56" customFormat="false" ht="15" hidden="false" customHeight="false" outlineLevel="0" collapsed="false">
      <c r="A56" s="16"/>
      <c r="B56" s="16"/>
      <c r="C56" s="16"/>
      <c r="D56" s="15"/>
      <c r="E56" s="16"/>
    </row>
    <row r="57" customFormat="false" ht="15" hidden="false" customHeight="false" outlineLevel="0" collapsed="false">
      <c r="A57" s="16"/>
      <c r="B57" s="16"/>
      <c r="C57" s="16"/>
      <c r="D57" s="15"/>
      <c r="E57" s="16"/>
    </row>
    <row r="58" customFormat="false" ht="15" hidden="false" customHeight="false" outlineLevel="0" collapsed="false">
      <c r="A58" s="16"/>
      <c r="B58" s="16"/>
      <c r="C58" s="16"/>
      <c r="D58" s="15"/>
      <c r="E58" s="16"/>
    </row>
    <row r="59" customFormat="false" ht="15" hidden="false" customHeight="false" outlineLevel="0" collapsed="false">
      <c r="A59" s="16"/>
      <c r="B59" s="16"/>
      <c r="C59" s="16"/>
      <c r="D59" s="15"/>
      <c r="E59" s="16"/>
    </row>
    <row r="60" customFormat="false" ht="15" hidden="false" customHeight="false" outlineLevel="0" collapsed="false">
      <c r="A60" s="16"/>
      <c r="B60" s="16"/>
      <c r="C60" s="16"/>
      <c r="D60" s="15"/>
      <c r="E60" s="16"/>
    </row>
    <row r="61" customFormat="false" ht="15" hidden="false" customHeight="false" outlineLevel="0" collapsed="false">
      <c r="A61" s="16"/>
      <c r="B61" s="16"/>
      <c r="C61" s="16"/>
      <c r="D61" s="15"/>
      <c r="E61" s="16"/>
    </row>
    <row r="62" customFormat="false" ht="15" hidden="false" customHeight="false" outlineLevel="0" collapsed="false">
      <c r="A62" s="16"/>
      <c r="B62" s="16"/>
      <c r="C62" s="16"/>
      <c r="D62" s="15"/>
      <c r="E62" s="16"/>
    </row>
    <row r="63" customFormat="false" ht="15" hidden="false" customHeight="false" outlineLevel="0" collapsed="false">
      <c r="A63" s="16"/>
      <c r="B63" s="16"/>
      <c r="C63" s="16"/>
      <c r="D63" s="15"/>
      <c r="E63" s="16"/>
    </row>
    <row r="64" customFormat="false" ht="15" hidden="false" customHeight="false" outlineLevel="0" collapsed="false">
      <c r="A64" s="16"/>
      <c r="B64" s="16"/>
      <c r="C64" s="16"/>
      <c r="D64" s="15"/>
      <c r="E64" s="16"/>
    </row>
    <row r="65" customFormat="false" ht="15" hidden="false" customHeight="false" outlineLevel="0" collapsed="false">
      <c r="A65" s="16"/>
      <c r="B65" s="16"/>
      <c r="C65" s="16"/>
      <c r="D65" s="15"/>
      <c r="E65" s="16"/>
    </row>
    <row r="66" customFormat="false" ht="15" hidden="false" customHeight="false" outlineLevel="0" collapsed="false">
      <c r="A66" s="16"/>
      <c r="B66" s="16"/>
      <c r="C66" s="16"/>
      <c r="D66" s="15"/>
      <c r="E66" s="16"/>
    </row>
    <row r="67" customFormat="false" ht="15" hidden="false" customHeight="false" outlineLevel="0" collapsed="false">
      <c r="A67" s="16"/>
      <c r="B67" s="16"/>
      <c r="C67" s="16"/>
      <c r="D67" s="15"/>
      <c r="E67" s="16"/>
    </row>
    <row r="68" customFormat="false" ht="15" hidden="false" customHeight="false" outlineLevel="0" collapsed="false">
      <c r="A68" s="16"/>
      <c r="B68" s="16"/>
      <c r="C68" s="16"/>
      <c r="D68" s="15"/>
      <c r="E68" s="16"/>
    </row>
    <row r="69" customFormat="false" ht="15" hidden="false" customHeight="false" outlineLevel="0" collapsed="false">
      <c r="A69" s="16"/>
      <c r="B69" s="16"/>
      <c r="C69" s="16"/>
      <c r="D69" s="15"/>
      <c r="E69" s="16"/>
    </row>
    <row r="70" customFormat="false" ht="15" hidden="false" customHeight="false" outlineLevel="0" collapsed="false">
      <c r="A70" s="16"/>
      <c r="B70" s="16"/>
      <c r="C70" s="16"/>
      <c r="D70" s="15"/>
      <c r="E70" s="16"/>
    </row>
    <row r="71" customFormat="false" ht="15" hidden="false" customHeight="false" outlineLevel="0" collapsed="false">
      <c r="A71" s="16"/>
      <c r="B71" s="16"/>
      <c r="C71" s="16"/>
      <c r="D71" s="15"/>
      <c r="E71" s="16"/>
    </row>
    <row r="72" customFormat="false" ht="15" hidden="false" customHeight="false" outlineLevel="0" collapsed="false">
      <c r="A72" s="16"/>
      <c r="B72" s="16"/>
      <c r="C72" s="16"/>
      <c r="D72" s="15"/>
      <c r="E72" s="16"/>
    </row>
    <row r="73" customFormat="false" ht="15" hidden="false" customHeight="false" outlineLevel="0" collapsed="false">
      <c r="A73" s="16"/>
      <c r="B73" s="16"/>
      <c r="C73" s="16"/>
      <c r="D73" s="15"/>
      <c r="E73" s="16"/>
    </row>
    <row r="74" customFormat="false" ht="15" hidden="false" customHeight="false" outlineLevel="0" collapsed="false">
      <c r="A74" s="16"/>
      <c r="B74" s="16"/>
      <c r="C74" s="16"/>
      <c r="D74" s="15"/>
      <c r="E74" s="16"/>
    </row>
    <row r="75" customFormat="false" ht="15" hidden="false" customHeight="false" outlineLevel="0" collapsed="false">
      <c r="A75" s="16"/>
      <c r="B75" s="16"/>
      <c r="C75" s="16"/>
      <c r="D75" s="15"/>
      <c r="E75" s="16"/>
    </row>
    <row r="76" customFormat="false" ht="15" hidden="false" customHeight="false" outlineLevel="0" collapsed="false">
      <c r="A76" s="16"/>
      <c r="B76" s="16"/>
      <c r="C76" s="16"/>
      <c r="D76" s="15"/>
      <c r="E76" s="16"/>
    </row>
    <row r="77" customFormat="false" ht="15" hidden="false" customHeight="false" outlineLevel="0" collapsed="false">
      <c r="A77" s="16"/>
      <c r="B77" s="16"/>
      <c r="C77" s="16"/>
      <c r="D77" s="15"/>
      <c r="E77" s="16"/>
    </row>
    <row r="78" customFormat="false" ht="15" hidden="false" customHeight="false" outlineLevel="0" collapsed="false">
      <c r="A78" s="16"/>
      <c r="B78" s="16"/>
      <c r="C78" s="16"/>
      <c r="D78" s="15"/>
      <c r="E78" s="16"/>
    </row>
    <row r="79" customFormat="false" ht="15" hidden="false" customHeight="false" outlineLevel="0" collapsed="false">
      <c r="A79" s="16"/>
      <c r="B79" s="16"/>
      <c r="C79" s="16"/>
      <c r="D79" s="15"/>
      <c r="E79" s="16"/>
    </row>
    <row r="80" customFormat="false" ht="15" hidden="false" customHeight="false" outlineLevel="0" collapsed="false">
      <c r="A80" s="16"/>
      <c r="B80" s="16"/>
      <c r="C80" s="16"/>
      <c r="D80" s="15"/>
      <c r="E80" s="16"/>
    </row>
    <row r="81" customFormat="false" ht="15" hidden="false" customHeight="false" outlineLevel="0" collapsed="false">
      <c r="A81" s="16"/>
      <c r="B81" s="16"/>
      <c r="C81" s="16"/>
      <c r="D81" s="15"/>
      <c r="E81" s="16"/>
    </row>
    <row r="82" customFormat="false" ht="15" hidden="false" customHeight="false" outlineLevel="0" collapsed="false">
      <c r="A82" s="16"/>
      <c r="B82" s="16"/>
      <c r="C82" s="16"/>
      <c r="D82" s="15"/>
      <c r="E82" s="16"/>
    </row>
    <row r="83" customFormat="false" ht="15" hidden="false" customHeight="false" outlineLevel="0" collapsed="false">
      <c r="A83" s="16"/>
      <c r="B83" s="16"/>
      <c r="C83" s="16"/>
      <c r="D83" s="15"/>
      <c r="E83" s="16"/>
    </row>
    <row r="84" customFormat="false" ht="15" hidden="false" customHeight="false" outlineLevel="0" collapsed="false">
      <c r="A84" s="16"/>
      <c r="B84" s="16"/>
      <c r="C84" s="16"/>
      <c r="D84" s="15"/>
      <c r="E84" s="16"/>
    </row>
    <row r="85" customFormat="false" ht="15" hidden="false" customHeight="false" outlineLevel="0" collapsed="false">
      <c r="A85" s="16"/>
      <c r="B85" s="16"/>
      <c r="C85" s="16"/>
      <c r="D85" s="15"/>
      <c r="E85" s="16"/>
    </row>
    <row r="86" customFormat="false" ht="15" hidden="false" customHeight="false" outlineLevel="0" collapsed="false">
      <c r="A86" s="16"/>
      <c r="B86" s="16"/>
      <c r="C86" s="16"/>
      <c r="D86" s="15"/>
      <c r="E86" s="16"/>
    </row>
    <row r="87" customFormat="false" ht="15" hidden="false" customHeight="false" outlineLevel="0" collapsed="false">
      <c r="A87" s="16"/>
      <c r="B87" s="16"/>
      <c r="C87" s="16"/>
      <c r="D87" s="15"/>
      <c r="E87" s="16"/>
    </row>
    <row r="88" customFormat="false" ht="15" hidden="false" customHeight="false" outlineLevel="0" collapsed="false">
      <c r="A88" s="16"/>
      <c r="B88" s="16"/>
      <c r="C88" s="16"/>
      <c r="D88" s="15"/>
      <c r="E88" s="16"/>
    </row>
    <row r="89" customFormat="false" ht="15" hidden="false" customHeight="false" outlineLevel="0" collapsed="false">
      <c r="A89" s="16"/>
      <c r="B89" s="16"/>
      <c r="C89" s="16"/>
      <c r="D89" s="15"/>
      <c r="E89" s="16"/>
    </row>
    <row r="90" customFormat="false" ht="15" hidden="false" customHeight="false" outlineLevel="0" collapsed="false">
      <c r="A90" s="16"/>
      <c r="B90" s="16"/>
      <c r="C90" s="16"/>
      <c r="D90" s="15"/>
      <c r="E90" s="16"/>
    </row>
    <row r="91" customFormat="false" ht="15" hidden="false" customHeight="false" outlineLevel="0" collapsed="false">
      <c r="A91" s="16"/>
      <c r="B91" s="16"/>
      <c r="C91" s="16"/>
      <c r="D91" s="15"/>
      <c r="E91" s="16"/>
    </row>
    <row r="92" customFormat="false" ht="15" hidden="false" customHeight="false" outlineLevel="0" collapsed="false">
      <c r="A92" s="16"/>
      <c r="B92" s="16"/>
      <c r="C92" s="16"/>
      <c r="D92" s="15"/>
      <c r="E92" s="16"/>
    </row>
    <row r="93" customFormat="false" ht="15" hidden="false" customHeight="false" outlineLevel="0" collapsed="false">
      <c r="A93" s="16"/>
      <c r="B93" s="16"/>
      <c r="C93" s="16"/>
      <c r="D93" s="15"/>
      <c r="E93" s="16"/>
    </row>
    <row r="94" customFormat="false" ht="15" hidden="false" customHeight="false" outlineLevel="0" collapsed="false">
      <c r="A94" s="16"/>
      <c r="B94" s="16"/>
      <c r="C94" s="16"/>
      <c r="D94" s="15"/>
      <c r="E94" s="16"/>
    </row>
    <row r="95" customFormat="false" ht="15" hidden="false" customHeight="false" outlineLevel="0" collapsed="false">
      <c r="A95" s="16"/>
      <c r="B95" s="16"/>
      <c r="C95" s="16"/>
      <c r="D95" s="15"/>
      <c r="E95" s="16"/>
    </row>
    <row r="96" customFormat="false" ht="15" hidden="false" customHeight="false" outlineLevel="0" collapsed="false">
      <c r="A96" s="16"/>
      <c r="B96" s="16"/>
      <c r="C96" s="16"/>
      <c r="D96" s="15"/>
      <c r="E96" s="16"/>
    </row>
    <row r="97" customFormat="false" ht="15" hidden="false" customHeight="false" outlineLevel="0" collapsed="false">
      <c r="A97" s="16"/>
      <c r="B97" s="16"/>
      <c r="C97" s="16"/>
      <c r="D97" s="15"/>
      <c r="E97" s="16"/>
    </row>
    <row r="98" customFormat="false" ht="15" hidden="false" customHeight="false" outlineLevel="0" collapsed="false">
      <c r="A98" s="16"/>
      <c r="B98" s="16"/>
      <c r="C98" s="16"/>
      <c r="D98" s="15"/>
      <c r="E98" s="16"/>
    </row>
    <row r="99" customFormat="false" ht="15" hidden="false" customHeight="false" outlineLevel="0" collapsed="false">
      <c r="A99" s="16"/>
      <c r="B99" s="16"/>
      <c r="C99" s="16"/>
      <c r="D99" s="15"/>
      <c r="E99" s="16"/>
    </row>
    <row r="100" customFormat="false" ht="15" hidden="false" customHeight="false" outlineLevel="0" collapsed="false">
      <c r="A100" s="16"/>
      <c r="B100" s="16"/>
      <c r="C100" s="16"/>
      <c r="D100" s="15"/>
      <c r="E100" s="16"/>
    </row>
    <row r="101" customFormat="false" ht="15" hidden="false" customHeight="false" outlineLevel="0" collapsed="false">
      <c r="A101" s="16"/>
      <c r="B101" s="16"/>
      <c r="C101" s="16"/>
      <c r="D101" s="15"/>
      <c r="E101" s="16"/>
    </row>
    <row r="102" customFormat="false" ht="15" hidden="false" customHeight="false" outlineLevel="0" collapsed="false">
      <c r="A102" s="16"/>
      <c r="B102" s="16"/>
      <c r="C102" s="16"/>
      <c r="D102" s="15"/>
      <c r="E102" s="16"/>
    </row>
    <row r="103" customFormat="false" ht="15" hidden="false" customHeight="false" outlineLevel="0" collapsed="false">
      <c r="A103" s="16"/>
      <c r="B103" s="16"/>
      <c r="C103" s="16"/>
      <c r="D103" s="15"/>
      <c r="E103" s="16"/>
    </row>
    <row r="104" customFormat="false" ht="15" hidden="false" customHeight="false" outlineLevel="0" collapsed="false">
      <c r="A104" s="16"/>
      <c r="B104" s="16"/>
      <c r="C104" s="16"/>
      <c r="D104" s="15"/>
      <c r="E104" s="16"/>
    </row>
  </sheetData>
  <conditionalFormatting sqref="C5:C104">
    <cfRule type="cellIs" priority="2" operator="equal" aboveAverage="0" equalAverage="0" bottom="0" percent="0" rank="0" text="" dxfId="12">
      <formula>"Pass"</formula>
    </cfRule>
    <cfRule type="cellIs" priority="3" operator="equal" aboveAverage="0" equalAverage="0" bottom="0" percent="0" rank="0" text="" dxfId="13">
      <formula>"Needs update"</formula>
    </cfRule>
    <cfRule type="cellIs" priority="4" operator="equal" aboveAverage="0" equalAverage="0" bottom="0" percent="0" rank="0" text="" dxfId="0">
      <formula>"Fail"</formula>
    </cfRule>
  </conditionalFormatting>
  <dataValidations count="1">
    <dataValidation allowBlank="true" errorStyle="stop" operator="between" showDropDown="false" showErrorMessage="false" showInputMessage="false" sqref="C5:C104" type="list">
      <formula1>"Pass,Needs update,Fail"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16"/>
    <col collapsed="false" customWidth="true" hidden="false" outlineLevel="0" max="4" min="4" style="0" width="22"/>
    <col collapsed="false" customWidth="true" hidden="false" outlineLevel="0" max="5" min="5" style="0" width="14"/>
    <col collapsed="false" customWidth="true" hidden="false" outlineLevel="0" max="7" min="6" style="0" width="12"/>
    <col collapsed="false" customWidth="true" hidden="false" outlineLevel="0" max="8" min="8" style="0" width="14"/>
  </cols>
  <sheetData>
    <row r="1" customFormat="false" ht="17.35" hidden="false" customHeight="false" outlineLevel="0" collapsed="false">
      <c r="A1" s="1" t="s">
        <v>180</v>
      </c>
    </row>
    <row r="2" customFormat="false" ht="15" hidden="false" customHeight="false" outlineLevel="0" collapsed="false">
      <c r="A2" s="2" t="s">
        <v>181</v>
      </c>
    </row>
    <row r="3" customFormat="false" ht="15" hidden="false" customHeight="false" outlineLevel="0" collapsed="false">
      <c r="A3" s="18" t="s">
        <v>99</v>
      </c>
    </row>
    <row r="4" customFormat="false" ht="31.5" hidden="false" customHeight="true" outlineLevel="0" collapsed="false">
      <c r="A4" s="7" t="s">
        <v>182</v>
      </c>
      <c r="B4" s="7" t="s">
        <v>62</v>
      </c>
      <c r="C4" s="7" t="s">
        <v>183</v>
      </c>
      <c r="D4" s="7" t="s">
        <v>184</v>
      </c>
      <c r="E4" s="7" t="s">
        <v>185</v>
      </c>
      <c r="F4" s="7" t="s">
        <v>104</v>
      </c>
      <c r="G4" s="7" t="s">
        <v>125</v>
      </c>
      <c r="H4" s="7" t="s">
        <v>186</v>
      </c>
    </row>
    <row r="5" customFormat="false" ht="15" hidden="false" customHeight="false" outlineLevel="0" collapsed="false">
      <c r="A5" s="16" t="s">
        <v>187</v>
      </c>
      <c r="B5" s="16" t="s">
        <v>112</v>
      </c>
      <c r="C5" s="16" t="s">
        <v>188</v>
      </c>
      <c r="D5" s="16" t="s">
        <v>189</v>
      </c>
      <c r="E5" s="15" t="n">
        <v>46296</v>
      </c>
      <c r="F5" s="16" t="s">
        <v>115</v>
      </c>
      <c r="G5" s="10" t="str">
        <f aca="false">IF(OR(A5="",F5="Done"),"",IF(E5&lt;Settings!$B$5,"Overdue",""))</f>
        <v/>
      </c>
      <c r="H5" s="21" t="str">
        <f aca="false">IF(G5="Overdue",Settings!$B$5-E5,"")</f>
        <v/>
      </c>
    </row>
    <row r="6" customFormat="false" ht="15" hidden="false" customHeight="false" outlineLevel="0" collapsed="false">
      <c r="A6" s="16" t="s">
        <v>190</v>
      </c>
      <c r="B6" s="16" t="s">
        <v>109</v>
      </c>
      <c r="C6" s="16" t="s">
        <v>191</v>
      </c>
      <c r="D6" s="16" t="s">
        <v>192</v>
      </c>
      <c r="E6" s="15" t="n">
        <v>46305</v>
      </c>
      <c r="F6" s="16" t="s">
        <v>115</v>
      </c>
      <c r="G6" s="10" t="str">
        <f aca="false">IF(OR(A6="",F6="Done"),"",IF(E6&lt;Settings!$B$5,"Overdue",""))</f>
        <v/>
      </c>
      <c r="H6" s="21" t="str">
        <f aca="false">IF(G6="Overdue",Settings!$B$5-E6,"")</f>
        <v/>
      </c>
    </row>
    <row r="7" customFormat="false" ht="15" hidden="false" customHeight="false" outlineLevel="0" collapsed="false">
      <c r="A7" s="16" t="s">
        <v>193</v>
      </c>
      <c r="B7" s="16" t="s">
        <v>105</v>
      </c>
      <c r="C7" s="16" t="s">
        <v>194</v>
      </c>
      <c r="D7" s="16" t="s">
        <v>195</v>
      </c>
      <c r="E7" s="15" t="n">
        <v>46309</v>
      </c>
      <c r="F7" s="16" t="s">
        <v>115</v>
      </c>
      <c r="G7" s="10" t="str">
        <f aca="false">IF(OR(A7="",F7="Done"),"",IF(E7&lt;Settings!$B$5,"Overdue",""))</f>
        <v/>
      </c>
      <c r="H7" s="21" t="str">
        <f aca="false">IF(G7="Overdue",Settings!$B$5-E7,"")</f>
        <v/>
      </c>
    </row>
    <row r="8" customFormat="false" ht="15" hidden="false" customHeight="false" outlineLevel="0" collapsed="false">
      <c r="A8" s="16" t="s">
        <v>196</v>
      </c>
      <c r="B8" s="16" t="s">
        <v>105</v>
      </c>
      <c r="C8" s="16" t="s">
        <v>191</v>
      </c>
      <c r="D8" s="16" t="s">
        <v>197</v>
      </c>
      <c r="E8" s="15" t="n">
        <v>46313</v>
      </c>
      <c r="F8" s="16" t="s">
        <v>115</v>
      </c>
      <c r="G8" s="10" t="str">
        <f aca="false">IF(OR(A8="",F8="Done"),"",IF(E8&lt;Settings!$B$5,"Overdue",""))</f>
        <v/>
      </c>
      <c r="H8" s="21" t="str">
        <f aca="false">IF(G8="Overdue",Settings!$B$5-E8,"")</f>
        <v/>
      </c>
    </row>
    <row r="9" customFormat="false" ht="15" hidden="false" customHeight="false" outlineLevel="0" collapsed="false">
      <c r="A9" s="16" t="s">
        <v>198</v>
      </c>
      <c r="B9" s="16" t="s">
        <v>109</v>
      </c>
      <c r="C9" s="16" t="s">
        <v>191</v>
      </c>
      <c r="D9" s="16" t="s">
        <v>199</v>
      </c>
      <c r="E9" s="15" t="n">
        <v>46315</v>
      </c>
      <c r="F9" s="16" t="s">
        <v>200</v>
      </c>
      <c r="G9" s="10" t="str">
        <f aca="false">IF(OR(A9="",F9="Done"),"",IF(E9&lt;Settings!$B$5,"Overdue",""))</f>
        <v>Overdue</v>
      </c>
      <c r="H9" s="21" t="n">
        <f aca="false">IF(G9="Overdue",Settings!$B$5-E9,"")</f>
        <v>5</v>
      </c>
    </row>
    <row r="10" customFormat="false" ht="15" hidden="false" customHeight="false" outlineLevel="0" collapsed="false">
      <c r="A10" s="16" t="s">
        <v>201</v>
      </c>
      <c r="B10" s="16" t="s">
        <v>116</v>
      </c>
      <c r="C10" s="16" t="s">
        <v>188</v>
      </c>
      <c r="D10" s="16" t="s">
        <v>202</v>
      </c>
      <c r="E10" s="15" t="n">
        <v>46316</v>
      </c>
      <c r="F10" s="16" t="s">
        <v>200</v>
      </c>
      <c r="G10" s="10" t="str">
        <f aca="false">IF(OR(A10="",F10="Done"),"",IF(E10&lt;Settings!$B$5,"Overdue",""))</f>
        <v>Overdue</v>
      </c>
      <c r="H10" s="21" t="n">
        <f aca="false">IF(G10="Overdue",Settings!$B$5-E10,"")</f>
        <v>4</v>
      </c>
    </row>
    <row r="11" customFormat="false" ht="15" hidden="false" customHeight="false" outlineLevel="0" collapsed="false">
      <c r="A11" s="16" t="s">
        <v>203</v>
      </c>
      <c r="B11" s="16" t="s">
        <v>105</v>
      </c>
      <c r="C11" s="16" t="s">
        <v>204</v>
      </c>
      <c r="D11" s="16" t="s">
        <v>205</v>
      </c>
      <c r="E11" s="15" t="n">
        <v>46318</v>
      </c>
      <c r="F11" s="16" t="s">
        <v>200</v>
      </c>
      <c r="G11" s="10" t="str">
        <f aca="false">IF(OR(A11="",F11="Done"),"",IF(E11&lt;Settings!$B$5,"Overdue",""))</f>
        <v>Overdue</v>
      </c>
      <c r="H11" s="21" t="n">
        <f aca="false">IF(G11="Overdue",Settings!$B$5-E11,"")</f>
        <v>2</v>
      </c>
    </row>
    <row r="12" customFormat="false" ht="15" hidden="false" customHeight="false" outlineLevel="0" collapsed="false">
      <c r="A12" s="16" t="s">
        <v>206</v>
      </c>
      <c r="B12" s="16" t="s">
        <v>112</v>
      </c>
      <c r="C12" s="16" t="s">
        <v>191</v>
      </c>
      <c r="D12" s="16" t="s">
        <v>207</v>
      </c>
      <c r="E12" s="15" t="n">
        <v>46317</v>
      </c>
      <c r="F12" s="16" t="s">
        <v>200</v>
      </c>
      <c r="G12" s="10" t="str">
        <f aca="false">IF(OR(A12="",F12="Done"),"",IF(E12&lt;Settings!$B$5,"Overdue",""))</f>
        <v>Overdue</v>
      </c>
      <c r="H12" s="21" t="n">
        <f aca="false">IF(G12="Overdue",Settings!$B$5-E12,"")</f>
        <v>3</v>
      </c>
    </row>
    <row r="13" customFormat="false" ht="15" hidden="false" customHeight="false" outlineLevel="0" collapsed="false">
      <c r="A13" s="16" t="s">
        <v>208</v>
      </c>
      <c r="B13" s="16" t="s">
        <v>105</v>
      </c>
      <c r="C13" s="16" t="s">
        <v>191</v>
      </c>
      <c r="D13" s="16" t="s">
        <v>209</v>
      </c>
      <c r="E13" s="15" t="n">
        <v>46321</v>
      </c>
      <c r="F13" s="16" t="s">
        <v>200</v>
      </c>
      <c r="G13" s="10" t="str">
        <f aca="false">IF(OR(A13="",F13="Done"),"",IF(E13&lt;Settings!$B$5,"Overdue",""))</f>
        <v/>
      </c>
      <c r="H13" s="21" t="str">
        <f aca="false">IF(G13="Overdue",Settings!$B$5-E13,"")</f>
        <v/>
      </c>
    </row>
    <row r="14" customFormat="false" ht="15" hidden="false" customHeight="false" outlineLevel="0" collapsed="false">
      <c r="A14" s="16" t="s">
        <v>210</v>
      </c>
      <c r="B14" s="16" t="s">
        <v>109</v>
      </c>
      <c r="C14" s="16" t="s">
        <v>194</v>
      </c>
      <c r="D14" s="16" t="s">
        <v>211</v>
      </c>
      <c r="E14" s="15" t="n">
        <v>46325</v>
      </c>
      <c r="F14" s="16" t="s">
        <v>200</v>
      </c>
      <c r="G14" s="10" t="str">
        <f aca="false">IF(OR(A14="",F14="Done"),"",IF(E14&lt;Settings!$B$5,"Overdue",""))</f>
        <v/>
      </c>
      <c r="H14" s="21" t="str">
        <f aca="false">IF(G14="Overdue",Settings!$B$5-E14,"")</f>
        <v/>
      </c>
    </row>
    <row r="15" customFormat="false" ht="15" hidden="false" customHeight="false" outlineLevel="0" collapsed="false">
      <c r="A15" s="16" t="s">
        <v>212</v>
      </c>
      <c r="B15" s="16" t="s">
        <v>116</v>
      </c>
      <c r="C15" s="16" t="s">
        <v>188</v>
      </c>
      <c r="D15" s="16" t="s">
        <v>202</v>
      </c>
      <c r="E15" s="15" t="n">
        <v>46323</v>
      </c>
      <c r="F15" s="16" t="s">
        <v>200</v>
      </c>
      <c r="G15" s="10" t="str">
        <f aca="false">IF(OR(A15="",F15="Done"),"",IF(E15&lt;Settings!$B$5,"Overdue",""))</f>
        <v/>
      </c>
      <c r="H15" s="21" t="str">
        <f aca="false">IF(G15="Overdue",Settings!$B$5-E15,"")</f>
        <v/>
      </c>
    </row>
    <row r="16" customFormat="false" ht="15" hidden="false" customHeight="false" outlineLevel="0" collapsed="false">
      <c r="A16" s="16" t="s">
        <v>213</v>
      </c>
      <c r="B16" s="16" t="s">
        <v>109</v>
      </c>
      <c r="C16" s="16" t="s">
        <v>191</v>
      </c>
      <c r="D16" s="16" t="s">
        <v>197</v>
      </c>
      <c r="E16" s="15" t="n">
        <v>46328</v>
      </c>
      <c r="F16" s="16" t="s">
        <v>200</v>
      </c>
      <c r="G16" s="10" t="str">
        <f aca="false">IF(OR(A16="",F16="Done"),"",IF(E16&lt;Settings!$B$5,"Overdue",""))</f>
        <v/>
      </c>
      <c r="H16" s="21" t="str">
        <f aca="false">IF(G16="Overdue",Settings!$B$5-E16,"")</f>
        <v/>
      </c>
    </row>
    <row r="17" customFormat="false" ht="15" hidden="false" customHeight="false" outlineLevel="0" collapsed="false">
      <c r="A17" s="16"/>
      <c r="B17" s="16"/>
      <c r="C17" s="16"/>
      <c r="D17" s="16"/>
      <c r="E17" s="15"/>
      <c r="F17" s="16"/>
      <c r="G17" s="10" t="str">
        <f aca="false">IF(OR(A17="",F17="Done"),"",IF(E17&lt;Settings!$B$5,"Overdue",""))</f>
        <v/>
      </c>
      <c r="H17" s="21" t="str">
        <f aca="false">IF(G17="Overdue",Settings!$B$5-E17,"")</f>
        <v/>
      </c>
    </row>
    <row r="18" customFormat="false" ht="15" hidden="false" customHeight="false" outlineLevel="0" collapsed="false">
      <c r="A18" s="16"/>
      <c r="B18" s="16"/>
      <c r="C18" s="16"/>
      <c r="D18" s="16"/>
      <c r="E18" s="15"/>
      <c r="F18" s="16"/>
      <c r="G18" s="10" t="str">
        <f aca="false">IF(OR(A18="",F18="Done"),"",IF(E18&lt;Settings!$B$5,"Overdue",""))</f>
        <v/>
      </c>
      <c r="H18" s="21" t="str">
        <f aca="false">IF(G18="Overdue",Settings!$B$5-E18,"")</f>
        <v/>
      </c>
    </row>
    <row r="19" customFormat="false" ht="15" hidden="false" customHeight="false" outlineLevel="0" collapsed="false">
      <c r="A19" s="16"/>
      <c r="B19" s="16"/>
      <c r="C19" s="16"/>
      <c r="D19" s="16"/>
      <c r="E19" s="15"/>
      <c r="F19" s="16"/>
      <c r="G19" s="10" t="str">
        <f aca="false">IF(OR(A19="",F19="Done"),"",IF(E19&lt;Settings!$B$5,"Overdue",""))</f>
        <v/>
      </c>
      <c r="H19" s="21" t="str">
        <f aca="false">IF(G19="Overdue",Settings!$B$5-E19,"")</f>
        <v/>
      </c>
    </row>
    <row r="20" customFormat="false" ht="15" hidden="false" customHeight="false" outlineLevel="0" collapsed="false">
      <c r="A20" s="16"/>
      <c r="B20" s="16"/>
      <c r="C20" s="16"/>
      <c r="D20" s="16"/>
      <c r="E20" s="15"/>
      <c r="F20" s="16"/>
      <c r="G20" s="10" t="str">
        <f aca="false">IF(OR(A20="",F20="Done"),"",IF(E20&lt;Settings!$B$5,"Overdue",""))</f>
        <v/>
      </c>
      <c r="H20" s="21" t="str">
        <f aca="false">IF(G20="Overdue",Settings!$B$5-E20,"")</f>
        <v/>
      </c>
    </row>
    <row r="21" customFormat="false" ht="15" hidden="false" customHeight="false" outlineLevel="0" collapsed="false">
      <c r="A21" s="16"/>
      <c r="B21" s="16"/>
      <c r="C21" s="16"/>
      <c r="D21" s="16"/>
      <c r="E21" s="15"/>
      <c r="F21" s="16"/>
      <c r="G21" s="10" t="str">
        <f aca="false">IF(OR(A21="",F21="Done"),"",IF(E21&lt;Settings!$B$5,"Overdue",""))</f>
        <v/>
      </c>
      <c r="H21" s="21" t="str">
        <f aca="false">IF(G21="Overdue",Settings!$B$5-E21,"")</f>
        <v/>
      </c>
    </row>
    <row r="22" customFormat="false" ht="15" hidden="false" customHeight="false" outlineLevel="0" collapsed="false">
      <c r="A22" s="16"/>
      <c r="B22" s="16"/>
      <c r="C22" s="16"/>
      <c r="D22" s="16"/>
      <c r="E22" s="15"/>
      <c r="F22" s="16"/>
      <c r="G22" s="10" t="str">
        <f aca="false">IF(OR(A22="",F22="Done"),"",IF(E22&lt;Settings!$B$5,"Overdue",""))</f>
        <v/>
      </c>
      <c r="H22" s="21" t="str">
        <f aca="false">IF(G22="Overdue",Settings!$B$5-E22,"")</f>
        <v/>
      </c>
    </row>
    <row r="23" customFormat="false" ht="15" hidden="false" customHeight="false" outlineLevel="0" collapsed="false">
      <c r="A23" s="16"/>
      <c r="B23" s="16"/>
      <c r="C23" s="16"/>
      <c r="D23" s="16"/>
      <c r="E23" s="15"/>
      <c r="F23" s="16"/>
      <c r="G23" s="10" t="str">
        <f aca="false">IF(OR(A23="",F23="Done"),"",IF(E23&lt;Settings!$B$5,"Overdue",""))</f>
        <v/>
      </c>
      <c r="H23" s="21" t="str">
        <f aca="false">IF(G23="Overdue",Settings!$B$5-E23,"")</f>
        <v/>
      </c>
    </row>
    <row r="24" customFormat="false" ht="15" hidden="false" customHeight="false" outlineLevel="0" collapsed="false">
      <c r="A24" s="16"/>
      <c r="B24" s="16"/>
      <c r="C24" s="16"/>
      <c r="D24" s="16"/>
      <c r="E24" s="15"/>
      <c r="F24" s="16"/>
      <c r="G24" s="10" t="str">
        <f aca="false">IF(OR(A24="",F24="Done"),"",IF(E24&lt;Settings!$B$5,"Overdue",""))</f>
        <v/>
      </c>
      <c r="H24" s="21" t="str">
        <f aca="false">IF(G24="Overdue",Settings!$B$5-E24,"")</f>
        <v/>
      </c>
    </row>
    <row r="25" customFormat="false" ht="15" hidden="false" customHeight="false" outlineLevel="0" collapsed="false">
      <c r="A25" s="16"/>
      <c r="B25" s="16"/>
      <c r="C25" s="16"/>
      <c r="D25" s="16"/>
      <c r="E25" s="15"/>
      <c r="F25" s="16"/>
      <c r="G25" s="10" t="str">
        <f aca="false">IF(OR(A25="",F25="Done"),"",IF(E25&lt;Settings!$B$5,"Overdue",""))</f>
        <v/>
      </c>
      <c r="H25" s="21" t="str">
        <f aca="false">IF(G25="Overdue",Settings!$B$5-E25,"")</f>
        <v/>
      </c>
    </row>
    <row r="26" customFormat="false" ht="15" hidden="false" customHeight="false" outlineLevel="0" collapsed="false">
      <c r="A26" s="16"/>
      <c r="B26" s="16"/>
      <c r="C26" s="16"/>
      <c r="D26" s="16"/>
      <c r="E26" s="15"/>
      <c r="F26" s="16"/>
      <c r="G26" s="10" t="str">
        <f aca="false">IF(OR(A26="",F26="Done"),"",IF(E26&lt;Settings!$B$5,"Overdue",""))</f>
        <v/>
      </c>
      <c r="H26" s="21" t="str">
        <f aca="false">IF(G26="Overdue",Settings!$B$5-E26,"")</f>
        <v/>
      </c>
    </row>
    <row r="27" customFormat="false" ht="15" hidden="false" customHeight="false" outlineLevel="0" collapsed="false">
      <c r="A27" s="16"/>
      <c r="B27" s="16"/>
      <c r="C27" s="16"/>
      <c r="D27" s="16"/>
      <c r="E27" s="15"/>
      <c r="F27" s="16"/>
      <c r="G27" s="10" t="str">
        <f aca="false">IF(OR(A27="",F27="Done"),"",IF(E27&lt;Settings!$B$5,"Overdue",""))</f>
        <v/>
      </c>
      <c r="H27" s="21" t="str">
        <f aca="false">IF(G27="Overdue",Settings!$B$5-E27,"")</f>
        <v/>
      </c>
    </row>
    <row r="28" customFormat="false" ht="15" hidden="false" customHeight="false" outlineLevel="0" collapsed="false">
      <c r="A28" s="16"/>
      <c r="B28" s="16"/>
      <c r="C28" s="16"/>
      <c r="D28" s="16"/>
      <c r="E28" s="15"/>
      <c r="F28" s="16"/>
      <c r="G28" s="10" t="str">
        <f aca="false">IF(OR(A28="",F28="Done"),"",IF(E28&lt;Settings!$B$5,"Overdue",""))</f>
        <v/>
      </c>
      <c r="H28" s="21" t="str">
        <f aca="false">IF(G28="Overdue",Settings!$B$5-E28,"")</f>
        <v/>
      </c>
    </row>
    <row r="29" customFormat="false" ht="15" hidden="false" customHeight="false" outlineLevel="0" collapsed="false">
      <c r="A29" s="16"/>
      <c r="B29" s="16"/>
      <c r="C29" s="16"/>
      <c r="D29" s="16"/>
      <c r="E29" s="15"/>
      <c r="F29" s="16"/>
      <c r="G29" s="10" t="str">
        <f aca="false">IF(OR(A29="",F29="Done"),"",IF(E29&lt;Settings!$B$5,"Overdue",""))</f>
        <v/>
      </c>
      <c r="H29" s="21" t="str">
        <f aca="false">IF(G29="Overdue",Settings!$B$5-E29,"")</f>
        <v/>
      </c>
    </row>
    <row r="30" customFormat="false" ht="15" hidden="false" customHeight="false" outlineLevel="0" collapsed="false">
      <c r="A30" s="16"/>
      <c r="B30" s="16"/>
      <c r="C30" s="16"/>
      <c r="D30" s="16"/>
      <c r="E30" s="15"/>
      <c r="F30" s="16"/>
      <c r="G30" s="10" t="str">
        <f aca="false">IF(OR(A30="",F30="Done"),"",IF(E30&lt;Settings!$B$5,"Overdue",""))</f>
        <v/>
      </c>
      <c r="H30" s="21" t="str">
        <f aca="false">IF(G30="Overdue",Settings!$B$5-E30,"")</f>
        <v/>
      </c>
    </row>
    <row r="31" customFormat="false" ht="15" hidden="false" customHeight="false" outlineLevel="0" collapsed="false">
      <c r="A31" s="16"/>
      <c r="B31" s="16"/>
      <c r="C31" s="16"/>
      <c r="D31" s="16"/>
      <c r="E31" s="15"/>
      <c r="F31" s="16"/>
      <c r="G31" s="10" t="str">
        <f aca="false">IF(OR(A31="",F31="Done"),"",IF(E31&lt;Settings!$B$5,"Overdue",""))</f>
        <v/>
      </c>
      <c r="H31" s="21" t="str">
        <f aca="false">IF(G31="Overdue",Settings!$B$5-E31,"")</f>
        <v/>
      </c>
    </row>
    <row r="32" customFormat="false" ht="15" hidden="false" customHeight="false" outlineLevel="0" collapsed="false">
      <c r="A32" s="16"/>
      <c r="B32" s="16"/>
      <c r="C32" s="16"/>
      <c r="D32" s="16"/>
      <c r="E32" s="15"/>
      <c r="F32" s="16"/>
      <c r="G32" s="10" t="str">
        <f aca="false">IF(OR(A32="",F32="Done"),"",IF(E32&lt;Settings!$B$5,"Overdue",""))</f>
        <v/>
      </c>
      <c r="H32" s="21" t="str">
        <f aca="false">IF(G32="Overdue",Settings!$B$5-E32,"")</f>
        <v/>
      </c>
    </row>
    <row r="33" customFormat="false" ht="15" hidden="false" customHeight="false" outlineLevel="0" collapsed="false">
      <c r="A33" s="16"/>
      <c r="B33" s="16"/>
      <c r="C33" s="16"/>
      <c r="D33" s="16"/>
      <c r="E33" s="15"/>
      <c r="F33" s="16"/>
      <c r="G33" s="10" t="str">
        <f aca="false">IF(OR(A33="",F33="Done"),"",IF(E33&lt;Settings!$B$5,"Overdue",""))</f>
        <v/>
      </c>
      <c r="H33" s="21" t="str">
        <f aca="false">IF(G33="Overdue",Settings!$B$5-E33,"")</f>
        <v/>
      </c>
    </row>
    <row r="34" customFormat="false" ht="15" hidden="false" customHeight="false" outlineLevel="0" collapsed="false">
      <c r="A34" s="16"/>
      <c r="B34" s="16"/>
      <c r="C34" s="16"/>
      <c r="D34" s="16"/>
      <c r="E34" s="15"/>
      <c r="F34" s="16"/>
      <c r="G34" s="10" t="str">
        <f aca="false">IF(OR(A34="",F34="Done"),"",IF(E34&lt;Settings!$B$5,"Overdue",""))</f>
        <v/>
      </c>
      <c r="H34" s="21" t="str">
        <f aca="false">IF(G34="Overdue",Settings!$B$5-E34,"")</f>
        <v/>
      </c>
    </row>
    <row r="35" customFormat="false" ht="15" hidden="false" customHeight="false" outlineLevel="0" collapsed="false">
      <c r="A35" s="16"/>
      <c r="B35" s="16"/>
      <c r="C35" s="16"/>
      <c r="D35" s="16"/>
      <c r="E35" s="15"/>
      <c r="F35" s="16"/>
      <c r="G35" s="10" t="str">
        <f aca="false">IF(OR(A35="",F35="Done"),"",IF(E35&lt;Settings!$B$5,"Overdue",""))</f>
        <v/>
      </c>
      <c r="H35" s="21" t="str">
        <f aca="false">IF(G35="Overdue",Settings!$B$5-E35,"")</f>
        <v/>
      </c>
    </row>
    <row r="36" customFormat="false" ht="15" hidden="false" customHeight="false" outlineLevel="0" collapsed="false">
      <c r="A36" s="16"/>
      <c r="B36" s="16"/>
      <c r="C36" s="16"/>
      <c r="D36" s="16"/>
      <c r="E36" s="15"/>
      <c r="F36" s="16"/>
      <c r="G36" s="10" t="str">
        <f aca="false">IF(OR(A36="",F36="Done"),"",IF(E36&lt;Settings!$B$5,"Overdue",""))</f>
        <v/>
      </c>
      <c r="H36" s="21" t="str">
        <f aca="false">IF(G36="Overdue",Settings!$B$5-E36,"")</f>
        <v/>
      </c>
    </row>
    <row r="37" customFormat="false" ht="15" hidden="false" customHeight="false" outlineLevel="0" collapsed="false">
      <c r="A37" s="16"/>
      <c r="B37" s="16"/>
      <c r="C37" s="16"/>
      <c r="D37" s="16"/>
      <c r="E37" s="15"/>
      <c r="F37" s="16"/>
      <c r="G37" s="10" t="str">
        <f aca="false">IF(OR(A37="",F37="Done"),"",IF(E37&lt;Settings!$B$5,"Overdue",""))</f>
        <v/>
      </c>
      <c r="H37" s="21" t="str">
        <f aca="false">IF(G37="Overdue",Settings!$B$5-E37,"")</f>
        <v/>
      </c>
    </row>
    <row r="38" customFormat="false" ht="15" hidden="false" customHeight="false" outlineLevel="0" collapsed="false">
      <c r="A38" s="16"/>
      <c r="B38" s="16"/>
      <c r="C38" s="16"/>
      <c r="D38" s="16"/>
      <c r="E38" s="15"/>
      <c r="F38" s="16"/>
      <c r="G38" s="10" t="str">
        <f aca="false">IF(OR(A38="",F38="Done"),"",IF(E38&lt;Settings!$B$5,"Overdue",""))</f>
        <v/>
      </c>
      <c r="H38" s="21" t="str">
        <f aca="false">IF(G38="Overdue",Settings!$B$5-E38,"")</f>
        <v/>
      </c>
    </row>
    <row r="39" customFormat="false" ht="15" hidden="false" customHeight="false" outlineLevel="0" collapsed="false">
      <c r="A39" s="16"/>
      <c r="B39" s="16"/>
      <c r="C39" s="16"/>
      <c r="D39" s="16"/>
      <c r="E39" s="15"/>
      <c r="F39" s="16"/>
      <c r="G39" s="10" t="str">
        <f aca="false">IF(OR(A39="",F39="Done"),"",IF(E39&lt;Settings!$B$5,"Overdue",""))</f>
        <v/>
      </c>
      <c r="H39" s="21" t="str">
        <f aca="false">IF(G39="Overdue",Settings!$B$5-E39,"")</f>
        <v/>
      </c>
    </row>
    <row r="40" customFormat="false" ht="15" hidden="false" customHeight="false" outlineLevel="0" collapsed="false">
      <c r="A40" s="16"/>
      <c r="B40" s="16"/>
      <c r="C40" s="16"/>
      <c r="D40" s="16"/>
      <c r="E40" s="15"/>
      <c r="F40" s="16"/>
      <c r="G40" s="10" t="str">
        <f aca="false">IF(OR(A40="",F40="Done"),"",IF(E40&lt;Settings!$B$5,"Overdue",""))</f>
        <v/>
      </c>
      <c r="H40" s="21" t="str">
        <f aca="false">IF(G40="Overdue",Settings!$B$5-E40,"")</f>
        <v/>
      </c>
    </row>
    <row r="41" customFormat="false" ht="15" hidden="false" customHeight="false" outlineLevel="0" collapsed="false">
      <c r="A41" s="16"/>
      <c r="B41" s="16"/>
      <c r="C41" s="16"/>
      <c r="D41" s="16"/>
      <c r="E41" s="15"/>
      <c r="F41" s="16"/>
      <c r="G41" s="10" t="str">
        <f aca="false">IF(OR(A41="",F41="Done"),"",IF(E41&lt;Settings!$B$5,"Overdue",""))</f>
        <v/>
      </c>
      <c r="H41" s="21" t="str">
        <f aca="false">IF(G41="Overdue",Settings!$B$5-E41,"")</f>
        <v/>
      </c>
    </row>
    <row r="42" customFormat="false" ht="15" hidden="false" customHeight="false" outlineLevel="0" collapsed="false">
      <c r="A42" s="16"/>
      <c r="B42" s="16"/>
      <c r="C42" s="16"/>
      <c r="D42" s="16"/>
      <c r="E42" s="15"/>
      <c r="F42" s="16"/>
      <c r="G42" s="10" t="str">
        <f aca="false">IF(OR(A42="",F42="Done"),"",IF(E42&lt;Settings!$B$5,"Overdue",""))</f>
        <v/>
      </c>
      <c r="H42" s="21" t="str">
        <f aca="false">IF(G42="Overdue",Settings!$B$5-E42,"")</f>
        <v/>
      </c>
    </row>
    <row r="43" customFormat="false" ht="15" hidden="false" customHeight="false" outlineLevel="0" collapsed="false">
      <c r="A43" s="16"/>
      <c r="B43" s="16"/>
      <c r="C43" s="16"/>
      <c r="D43" s="16"/>
      <c r="E43" s="15"/>
      <c r="F43" s="16"/>
      <c r="G43" s="10" t="str">
        <f aca="false">IF(OR(A43="",F43="Done"),"",IF(E43&lt;Settings!$B$5,"Overdue",""))</f>
        <v/>
      </c>
      <c r="H43" s="21" t="str">
        <f aca="false">IF(G43="Overdue",Settings!$B$5-E43,"")</f>
        <v/>
      </c>
    </row>
    <row r="44" customFormat="false" ht="15" hidden="false" customHeight="false" outlineLevel="0" collapsed="false">
      <c r="A44" s="16"/>
      <c r="B44" s="16"/>
      <c r="C44" s="16"/>
      <c r="D44" s="16"/>
      <c r="E44" s="15"/>
      <c r="F44" s="16"/>
      <c r="G44" s="10" t="str">
        <f aca="false">IF(OR(A44="",F44="Done"),"",IF(E44&lt;Settings!$B$5,"Overdue",""))</f>
        <v/>
      </c>
      <c r="H44" s="21" t="str">
        <f aca="false">IF(G44="Overdue",Settings!$B$5-E44,"")</f>
        <v/>
      </c>
    </row>
    <row r="45" customFormat="false" ht="15" hidden="false" customHeight="false" outlineLevel="0" collapsed="false">
      <c r="A45" s="16"/>
      <c r="B45" s="16"/>
      <c r="C45" s="16"/>
      <c r="D45" s="16"/>
      <c r="E45" s="15"/>
      <c r="F45" s="16"/>
      <c r="G45" s="10" t="str">
        <f aca="false">IF(OR(A45="",F45="Done"),"",IF(E45&lt;Settings!$B$5,"Overdue",""))</f>
        <v/>
      </c>
      <c r="H45" s="21" t="str">
        <f aca="false">IF(G45="Overdue",Settings!$B$5-E45,"")</f>
        <v/>
      </c>
    </row>
    <row r="46" customFormat="false" ht="15" hidden="false" customHeight="false" outlineLevel="0" collapsed="false">
      <c r="A46" s="16"/>
      <c r="B46" s="16"/>
      <c r="C46" s="16"/>
      <c r="D46" s="16"/>
      <c r="E46" s="15"/>
      <c r="F46" s="16"/>
      <c r="G46" s="10" t="str">
        <f aca="false">IF(OR(A46="",F46="Done"),"",IF(E46&lt;Settings!$B$5,"Overdue",""))</f>
        <v/>
      </c>
      <c r="H46" s="21" t="str">
        <f aca="false">IF(G46="Overdue",Settings!$B$5-E46,"")</f>
        <v/>
      </c>
    </row>
    <row r="47" customFormat="false" ht="15" hidden="false" customHeight="false" outlineLevel="0" collapsed="false">
      <c r="A47" s="16"/>
      <c r="B47" s="16"/>
      <c r="C47" s="16"/>
      <c r="D47" s="16"/>
      <c r="E47" s="15"/>
      <c r="F47" s="16"/>
      <c r="G47" s="10" t="str">
        <f aca="false">IF(OR(A47="",F47="Done"),"",IF(E47&lt;Settings!$B$5,"Overdue",""))</f>
        <v/>
      </c>
      <c r="H47" s="21" t="str">
        <f aca="false">IF(G47="Overdue",Settings!$B$5-E47,"")</f>
        <v/>
      </c>
    </row>
    <row r="48" customFormat="false" ht="15" hidden="false" customHeight="false" outlineLevel="0" collapsed="false">
      <c r="A48" s="16"/>
      <c r="B48" s="16"/>
      <c r="C48" s="16"/>
      <c r="D48" s="16"/>
      <c r="E48" s="15"/>
      <c r="F48" s="16"/>
      <c r="G48" s="10" t="str">
        <f aca="false">IF(OR(A48="",F48="Done"),"",IF(E48&lt;Settings!$B$5,"Overdue",""))</f>
        <v/>
      </c>
      <c r="H48" s="21" t="str">
        <f aca="false">IF(G48="Overdue",Settings!$B$5-E48,"")</f>
        <v/>
      </c>
    </row>
    <row r="49" customFormat="false" ht="15" hidden="false" customHeight="false" outlineLevel="0" collapsed="false">
      <c r="A49" s="16"/>
      <c r="B49" s="16"/>
      <c r="C49" s="16"/>
      <c r="D49" s="16"/>
      <c r="E49" s="15"/>
      <c r="F49" s="16"/>
      <c r="G49" s="10" t="str">
        <f aca="false">IF(OR(A49="",F49="Done"),"",IF(E49&lt;Settings!$B$5,"Overdue",""))</f>
        <v/>
      </c>
      <c r="H49" s="21" t="str">
        <f aca="false">IF(G49="Overdue",Settings!$B$5-E49,"")</f>
        <v/>
      </c>
    </row>
    <row r="50" customFormat="false" ht="15" hidden="false" customHeight="false" outlineLevel="0" collapsed="false">
      <c r="A50" s="16"/>
      <c r="B50" s="16"/>
      <c r="C50" s="16"/>
      <c r="D50" s="16"/>
      <c r="E50" s="15"/>
      <c r="F50" s="16"/>
      <c r="G50" s="10" t="str">
        <f aca="false">IF(OR(A50="",F50="Done"),"",IF(E50&lt;Settings!$B$5,"Overdue",""))</f>
        <v/>
      </c>
      <c r="H50" s="21" t="str">
        <f aca="false">IF(G50="Overdue",Settings!$B$5-E50,"")</f>
        <v/>
      </c>
    </row>
    <row r="51" customFormat="false" ht="15" hidden="false" customHeight="false" outlineLevel="0" collapsed="false">
      <c r="A51" s="16"/>
      <c r="B51" s="16"/>
      <c r="C51" s="16"/>
      <c r="D51" s="16"/>
      <c r="E51" s="15"/>
      <c r="F51" s="16"/>
      <c r="G51" s="10" t="str">
        <f aca="false">IF(OR(A51="",F51="Done"),"",IF(E51&lt;Settings!$B$5,"Overdue",""))</f>
        <v/>
      </c>
      <c r="H51" s="21" t="str">
        <f aca="false">IF(G51="Overdue",Settings!$B$5-E51,"")</f>
        <v/>
      </c>
    </row>
    <row r="52" customFormat="false" ht="15" hidden="false" customHeight="false" outlineLevel="0" collapsed="false">
      <c r="A52" s="16"/>
      <c r="B52" s="16"/>
      <c r="C52" s="16"/>
      <c r="D52" s="16"/>
      <c r="E52" s="15"/>
      <c r="F52" s="16"/>
      <c r="G52" s="10" t="str">
        <f aca="false">IF(OR(A52="",F52="Done"),"",IF(E52&lt;Settings!$B$5,"Overdue",""))</f>
        <v/>
      </c>
      <c r="H52" s="21" t="str">
        <f aca="false">IF(G52="Overdue",Settings!$B$5-E52,"")</f>
        <v/>
      </c>
    </row>
    <row r="53" customFormat="false" ht="15" hidden="false" customHeight="false" outlineLevel="0" collapsed="false">
      <c r="A53" s="16"/>
      <c r="B53" s="16"/>
      <c r="C53" s="16"/>
      <c r="D53" s="16"/>
      <c r="E53" s="15"/>
      <c r="F53" s="16"/>
      <c r="G53" s="10" t="str">
        <f aca="false">IF(OR(A53="",F53="Done"),"",IF(E53&lt;Settings!$B$5,"Overdue",""))</f>
        <v/>
      </c>
      <c r="H53" s="21" t="str">
        <f aca="false">IF(G53="Overdue",Settings!$B$5-E53,"")</f>
        <v/>
      </c>
    </row>
    <row r="54" customFormat="false" ht="15" hidden="false" customHeight="false" outlineLevel="0" collapsed="false">
      <c r="A54" s="16"/>
      <c r="B54" s="16"/>
      <c r="C54" s="16"/>
      <c r="D54" s="16"/>
      <c r="E54" s="15"/>
      <c r="F54" s="16"/>
      <c r="G54" s="10" t="str">
        <f aca="false">IF(OR(A54="",F54="Done"),"",IF(E54&lt;Settings!$B$5,"Overdue",""))</f>
        <v/>
      </c>
      <c r="H54" s="21" t="str">
        <f aca="false">IF(G54="Overdue",Settings!$B$5-E54,"")</f>
        <v/>
      </c>
    </row>
    <row r="55" customFormat="false" ht="15" hidden="false" customHeight="false" outlineLevel="0" collapsed="false">
      <c r="A55" s="16"/>
      <c r="B55" s="16"/>
      <c r="C55" s="16"/>
      <c r="D55" s="16"/>
      <c r="E55" s="15"/>
      <c r="F55" s="16"/>
      <c r="G55" s="10" t="str">
        <f aca="false">IF(OR(A55="",F55="Done"),"",IF(E55&lt;Settings!$B$5,"Overdue",""))</f>
        <v/>
      </c>
      <c r="H55" s="21" t="str">
        <f aca="false">IF(G55="Overdue",Settings!$B$5-E55,"")</f>
        <v/>
      </c>
    </row>
    <row r="56" customFormat="false" ht="15" hidden="false" customHeight="false" outlineLevel="0" collapsed="false">
      <c r="A56" s="16"/>
      <c r="B56" s="16"/>
      <c r="C56" s="16"/>
      <c r="D56" s="16"/>
      <c r="E56" s="15"/>
      <c r="F56" s="16"/>
      <c r="G56" s="10" t="str">
        <f aca="false">IF(OR(A56="",F56="Done"),"",IF(E56&lt;Settings!$B$5,"Overdue",""))</f>
        <v/>
      </c>
      <c r="H56" s="21" t="str">
        <f aca="false">IF(G56="Overdue",Settings!$B$5-E56,"")</f>
        <v/>
      </c>
    </row>
    <row r="57" customFormat="false" ht="15" hidden="false" customHeight="false" outlineLevel="0" collapsed="false">
      <c r="A57" s="16"/>
      <c r="B57" s="16"/>
      <c r="C57" s="16"/>
      <c r="D57" s="16"/>
      <c r="E57" s="15"/>
      <c r="F57" s="16"/>
      <c r="G57" s="10" t="str">
        <f aca="false">IF(OR(A57="",F57="Done"),"",IF(E57&lt;Settings!$B$5,"Overdue",""))</f>
        <v/>
      </c>
      <c r="H57" s="21" t="str">
        <f aca="false">IF(G57="Overdue",Settings!$B$5-E57,"")</f>
        <v/>
      </c>
    </row>
    <row r="58" customFormat="false" ht="15" hidden="false" customHeight="false" outlineLevel="0" collapsed="false">
      <c r="A58" s="16"/>
      <c r="B58" s="16"/>
      <c r="C58" s="16"/>
      <c r="D58" s="16"/>
      <c r="E58" s="15"/>
      <c r="F58" s="16"/>
      <c r="G58" s="10" t="str">
        <f aca="false">IF(OR(A58="",F58="Done"),"",IF(E58&lt;Settings!$B$5,"Overdue",""))</f>
        <v/>
      </c>
      <c r="H58" s="21" t="str">
        <f aca="false">IF(G58="Overdue",Settings!$B$5-E58,"")</f>
        <v/>
      </c>
    </row>
    <row r="59" customFormat="false" ht="15" hidden="false" customHeight="false" outlineLevel="0" collapsed="false">
      <c r="A59" s="16"/>
      <c r="B59" s="16"/>
      <c r="C59" s="16"/>
      <c r="D59" s="16"/>
      <c r="E59" s="15"/>
      <c r="F59" s="16"/>
      <c r="G59" s="10" t="str">
        <f aca="false">IF(OR(A59="",F59="Done"),"",IF(E59&lt;Settings!$B$5,"Overdue",""))</f>
        <v/>
      </c>
      <c r="H59" s="21" t="str">
        <f aca="false">IF(G59="Overdue",Settings!$B$5-E59,"")</f>
        <v/>
      </c>
    </row>
    <row r="60" customFormat="false" ht="15" hidden="false" customHeight="false" outlineLevel="0" collapsed="false">
      <c r="A60" s="16"/>
      <c r="B60" s="16"/>
      <c r="C60" s="16"/>
      <c r="D60" s="16"/>
      <c r="E60" s="15"/>
      <c r="F60" s="16"/>
      <c r="G60" s="10" t="str">
        <f aca="false">IF(OR(A60="",F60="Done"),"",IF(E60&lt;Settings!$B$5,"Overdue",""))</f>
        <v/>
      </c>
      <c r="H60" s="21" t="str">
        <f aca="false">IF(G60="Overdue",Settings!$B$5-E60,"")</f>
        <v/>
      </c>
    </row>
    <row r="61" customFormat="false" ht="15" hidden="false" customHeight="false" outlineLevel="0" collapsed="false">
      <c r="A61" s="16"/>
      <c r="B61" s="16"/>
      <c r="C61" s="16"/>
      <c r="D61" s="16"/>
      <c r="E61" s="15"/>
      <c r="F61" s="16"/>
      <c r="G61" s="10" t="str">
        <f aca="false">IF(OR(A61="",F61="Done"),"",IF(E61&lt;Settings!$B$5,"Overdue",""))</f>
        <v/>
      </c>
      <c r="H61" s="21" t="str">
        <f aca="false">IF(G61="Overdue",Settings!$B$5-E61,"")</f>
        <v/>
      </c>
    </row>
    <row r="62" customFormat="false" ht="15" hidden="false" customHeight="false" outlineLevel="0" collapsed="false">
      <c r="A62" s="16"/>
      <c r="B62" s="16"/>
      <c r="C62" s="16"/>
      <c r="D62" s="16"/>
      <c r="E62" s="15"/>
      <c r="F62" s="16"/>
      <c r="G62" s="10" t="str">
        <f aca="false">IF(OR(A62="",F62="Done"),"",IF(E62&lt;Settings!$B$5,"Overdue",""))</f>
        <v/>
      </c>
      <c r="H62" s="21" t="str">
        <f aca="false">IF(G62="Overdue",Settings!$B$5-E62,"")</f>
        <v/>
      </c>
    </row>
    <row r="63" customFormat="false" ht="15" hidden="false" customHeight="false" outlineLevel="0" collapsed="false">
      <c r="A63" s="16"/>
      <c r="B63" s="16"/>
      <c r="C63" s="16"/>
      <c r="D63" s="16"/>
      <c r="E63" s="15"/>
      <c r="F63" s="16"/>
      <c r="G63" s="10" t="str">
        <f aca="false">IF(OR(A63="",F63="Done"),"",IF(E63&lt;Settings!$B$5,"Overdue",""))</f>
        <v/>
      </c>
      <c r="H63" s="21" t="str">
        <f aca="false">IF(G63="Overdue",Settings!$B$5-E63,"")</f>
        <v/>
      </c>
    </row>
    <row r="64" customFormat="false" ht="15" hidden="false" customHeight="false" outlineLevel="0" collapsed="false">
      <c r="A64" s="16"/>
      <c r="B64" s="16"/>
      <c r="C64" s="16"/>
      <c r="D64" s="16"/>
      <c r="E64" s="15"/>
      <c r="F64" s="16"/>
      <c r="G64" s="10" t="str">
        <f aca="false">IF(OR(A64="",F64="Done"),"",IF(E64&lt;Settings!$B$5,"Overdue",""))</f>
        <v/>
      </c>
      <c r="H64" s="21" t="str">
        <f aca="false">IF(G64="Overdue",Settings!$B$5-E64,"")</f>
        <v/>
      </c>
    </row>
    <row r="65" customFormat="false" ht="15" hidden="false" customHeight="false" outlineLevel="0" collapsed="false">
      <c r="A65" s="16"/>
      <c r="B65" s="16"/>
      <c r="C65" s="16"/>
      <c r="D65" s="16"/>
      <c r="E65" s="15"/>
      <c r="F65" s="16"/>
      <c r="G65" s="10" t="str">
        <f aca="false">IF(OR(A65="",F65="Done"),"",IF(E65&lt;Settings!$B$5,"Overdue",""))</f>
        <v/>
      </c>
      <c r="H65" s="21" t="str">
        <f aca="false">IF(G65="Overdue",Settings!$B$5-E65,"")</f>
        <v/>
      </c>
    </row>
    <row r="66" customFormat="false" ht="15" hidden="false" customHeight="false" outlineLevel="0" collapsed="false">
      <c r="A66" s="16"/>
      <c r="B66" s="16"/>
      <c r="C66" s="16"/>
      <c r="D66" s="16"/>
      <c r="E66" s="15"/>
      <c r="F66" s="16"/>
      <c r="G66" s="10" t="str">
        <f aca="false">IF(OR(A66="",F66="Done"),"",IF(E66&lt;Settings!$B$5,"Overdue",""))</f>
        <v/>
      </c>
      <c r="H66" s="21" t="str">
        <f aca="false">IF(G66="Overdue",Settings!$B$5-E66,"")</f>
        <v/>
      </c>
    </row>
    <row r="67" customFormat="false" ht="15" hidden="false" customHeight="false" outlineLevel="0" collapsed="false">
      <c r="A67" s="16"/>
      <c r="B67" s="16"/>
      <c r="C67" s="16"/>
      <c r="D67" s="16"/>
      <c r="E67" s="15"/>
      <c r="F67" s="16"/>
      <c r="G67" s="10" t="str">
        <f aca="false">IF(OR(A67="",F67="Done"),"",IF(E67&lt;Settings!$B$5,"Overdue",""))</f>
        <v/>
      </c>
      <c r="H67" s="21" t="str">
        <f aca="false">IF(G67="Overdue",Settings!$B$5-E67,"")</f>
        <v/>
      </c>
    </row>
    <row r="68" customFormat="false" ht="15" hidden="false" customHeight="false" outlineLevel="0" collapsed="false">
      <c r="A68" s="16"/>
      <c r="B68" s="16"/>
      <c r="C68" s="16"/>
      <c r="D68" s="16"/>
      <c r="E68" s="15"/>
      <c r="F68" s="16"/>
      <c r="G68" s="10" t="str">
        <f aca="false">IF(OR(A68="",F68="Done"),"",IF(E68&lt;Settings!$B$5,"Overdue",""))</f>
        <v/>
      </c>
      <c r="H68" s="21" t="str">
        <f aca="false">IF(G68="Overdue",Settings!$B$5-E68,"")</f>
        <v/>
      </c>
    </row>
    <row r="69" customFormat="false" ht="15" hidden="false" customHeight="false" outlineLevel="0" collapsed="false">
      <c r="A69" s="16"/>
      <c r="B69" s="16"/>
      <c r="C69" s="16"/>
      <c r="D69" s="16"/>
      <c r="E69" s="15"/>
      <c r="F69" s="16"/>
      <c r="G69" s="10" t="str">
        <f aca="false">IF(OR(A69="",F69="Done"),"",IF(E69&lt;Settings!$B$5,"Overdue",""))</f>
        <v/>
      </c>
      <c r="H69" s="21" t="str">
        <f aca="false">IF(G69="Overdue",Settings!$B$5-E69,"")</f>
        <v/>
      </c>
    </row>
    <row r="70" customFormat="false" ht="15" hidden="false" customHeight="false" outlineLevel="0" collapsed="false">
      <c r="A70" s="16"/>
      <c r="B70" s="16"/>
      <c r="C70" s="16"/>
      <c r="D70" s="16"/>
      <c r="E70" s="15"/>
      <c r="F70" s="16"/>
      <c r="G70" s="10" t="str">
        <f aca="false">IF(OR(A70="",F70="Done"),"",IF(E70&lt;Settings!$B$5,"Overdue",""))</f>
        <v/>
      </c>
      <c r="H70" s="21" t="str">
        <f aca="false">IF(G70="Overdue",Settings!$B$5-E70,"")</f>
        <v/>
      </c>
    </row>
    <row r="71" customFormat="false" ht="15" hidden="false" customHeight="false" outlineLevel="0" collapsed="false">
      <c r="A71" s="16"/>
      <c r="B71" s="16"/>
      <c r="C71" s="16"/>
      <c r="D71" s="16"/>
      <c r="E71" s="15"/>
      <c r="F71" s="16"/>
      <c r="G71" s="10" t="str">
        <f aca="false">IF(OR(A71="",F71="Done"),"",IF(E71&lt;Settings!$B$5,"Overdue",""))</f>
        <v/>
      </c>
      <c r="H71" s="21" t="str">
        <f aca="false">IF(G71="Overdue",Settings!$B$5-E71,"")</f>
        <v/>
      </c>
    </row>
    <row r="72" customFormat="false" ht="15" hidden="false" customHeight="false" outlineLevel="0" collapsed="false">
      <c r="A72" s="16"/>
      <c r="B72" s="16"/>
      <c r="C72" s="16"/>
      <c r="D72" s="16"/>
      <c r="E72" s="15"/>
      <c r="F72" s="16"/>
      <c r="G72" s="10" t="str">
        <f aca="false">IF(OR(A72="",F72="Done"),"",IF(E72&lt;Settings!$B$5,"Overdue",""))</f>
        <v/>
      </c>
      <c r="H72" s="21" t="str">
        <f aca="false">IF(G72="Overdue",Settings!$B$5-E72,"")</f>
        <v/>
      </c>
    </row>
    <row r="73" customFormat="false" ht="15" hidden="false" customHeight="false" outlineLevel="0" collapsed="false">
      <c r="A73" s="16"/>
      <c r="B73" s="16"/>
      <c r="C73" s="16"/>
      <c r="D73" s="16"/>
      <c r="E73" s="15"/>
      <c r="F73" s="16"/>
      <c r="G73" s="10" t="str">
        <f aca="false">IF(OR(A73="",F73="Done"),"",IF(E73&lt;Settings!$B$5,"Overdue",""))</f>
        <v/>
      </c>
      <c r="H73" s="21" t="str">
        <f aca="false">IF(G73="Overdue",Settings!$B$5-E73,"")</f>
        <v/>
      </c>
    </row>
    <row r="74" customFormat="false" ht="15" hidden="false" customHeight="false" outlineLevel="0" collapsed="false">
      <c r="A74" s="16"/>
      <c r="B74" s="16"/>
      <c r="C74" s="16"/>
      <c r="D74" s="16"/>
      <c r="E74" s="15"/>
      <c r="F74" s="16"/>
      <c r="G74" s="10" t="str">
        <f aca="false">IF(OR(A74="",F74="Done"),"",IF(E74&lt;Settings!$B$5,"Overdue",""))</f>
        <v/>
      </c>
      <c r="H74" s="21" t="str">
        <f aca="false">IF(G74="Overdue",Settings!$B$5-E74,"")</f>
        <v/>
      </c>
    </row>
    <row r="75" customFormat="false" ht="15" hidden="false" customHeight="false" outlineLevel="0" collapsed="false">
      <c r="A75" s="16"/>
      <c r="B75" s="16"/>
      <c r="C75" s="16"/>
      <c r="D75" s="16"/>
      <c r="E75" s="15"/>
      <c r="F75" s="16"/>
      <c r="G75" s="10" t="str">
        <f aca="false">IF(OR(A75="",F75="Done"),"",IF(E75&lt;Settings!$B$5,"Overdue",""))</f>
        <v/>
      </c>
      <c r="H75" s="21" t="str">
        <f aca="false">IF(G75="Overdue",Settings!$B$5-E75,"")</f>
        <v/>
      </c>
    </row>
    <row r="76" customFormat="false" ht="15" hidden="false" customHeight="false" outlineLevel="0" collapsed="false">
      <c r="A76" s="16"/>
      <c r="B76" s="16"/>
      <c r="C76" s="16"/>
      <c r="D76" s="16"/>
      <c r="E76" s="15"/>
      <c r="F76" s="16"/>
      <c r="G76" s="10" t="str">
        <f aca="false">IF(OR(A76="",F76="Done"),"",IF(E76&lt;Settings!$B$5,"Overdue",""))</f>
        <v/>
      </c>
      <c r="H76" s="21" t="str">
        <f aca="false">IF(G76="Overdue",Settings!$B$5-E76,"")</f>
        <v/>
      </c>
    </row>
    <row r="77" customFormat="false" ht="15" hidden="false" customHeight="false" outlineLevel="0" collapsed="false">
      <c r="A77" s="16"/>
      <c r="B77" s="16"/>
      <c r="C77" s="16"/>
      <c r="D77" s="16"/>
      <c r="E77" s="15"/>
      <c r="F77" s="16"/>
      <c r="G77" s="10" t="str">
        <f aca="false">IF(OR(A77="",F77="Done"),"",IF(E77&lt;Settings!$B$5,"Overdue",""))</f>
        <v/>
      </c>
      <c r="H77" s="21" t="str">
        <f aca="false">IF(G77="Overdue",Settings!$B$5-E77,"")</f>
        <v/>
      </c>
    </row>
    <row r="78" customFormat="false" ht="15" hidden="false" customHeight="false" outlineLevel="0" collapsed="false">
      <c r="A78" s="16"/>
      <c r="B78" s="16"/>
      <c r="C78" s="16"/>
      <c r="D78" s="16"/>
      <c r="E78" s="15"/>
      <c r="F78" s="16"/>
      <c r="G78" s="10" t="str">
        <f aca="false">IF(OR(A78="",F78="Done"),"",IF(E78&lt;Settings!$B$5,"Overdue",""))</f>
        <v/>
      </c>
      <c r="H78" s="21" t="str">
        <f aca="false">IF(G78="Overdue",Settings!$B$5-E78,"")</f>
        <v/>
      </c>
    </row>
    <row r="79" customFormat="false" ht="15" hidden="false" customHeight="false" outlineLevel="0" collapsed="false">
      <c r="A79" s="16"/>
      <c r="B79" s="16"/>
      <c r="C79" s="16"/>
      <c r="D79" s="16"/>
      <c r="E79" s="15"/>
      <c r="F79" s="16"/>
      <c r="G79" s="10" t="str">
        <f aca="false">IF(OR(A79="",F79="Done"),"",IF(E79&lt;Settings!$B$5,"Overdue",""))</f>
        <v/>
      </c>
      <c r="H79" s="21" t="str">
        <f aca="false">IF(G79="Overdue",Settings!$B$5-E79,"")</f>
        <v/>
      </c>
    </row>
    <row r="80" customFormat="false" ht="15" hidden="false" customHeight="false" outlineLevel="0" collapsed="false">
      <c r="A80" s="16"/>
      <c r="B80" s="16"/>
      <c r="C80" s="16"/>
      <c r="D80" s="16"/>
      <c r="E80" s="15"/>
      <c r="F80" s="16"/>
      <c r="G80" s="10" t="str">
        <f aca="false">IF(OR(A80="",F80="Done"),"",IF(E80&lt;Settings!$B$5,"Overdue",""))</f>
        <v/>
      </c>
      <c r="H80" s="21" t="str">
        <f aca="false">IF(G80="Overdue",Settings!$B$5-E80,"")</f>
        <v/>
      </c>
    </row>
    <row r="81" customFormat="false" ht="15" hidden="false" customHeight="false" outlineLevel="0" collapsed="false">
      <c r="A81" s="16"/>
      <c r="B81" s="16"/>
      <c r="C81" s="16"/>
      <c r="D81" s="16"/>
      <c r="E81" s="15"/>
      <c r="F81" s="16"/>
      <c r="G81" s="10" t="str">
        <f aca="false">IF(OR(A81="",F81="Done"),"",IF(E81&lt;Settings!$B$5,"Overdue",""))</f>
        <v/>
      </c>
      <c r="H81" s="21" t="str">
        <f aca="false">IF(G81="Overdue",Settings!$B$5-E81,"")</f>
        <v/>
      </c>
    </row>
    <row r="82" customFormat="false" ht="15" hidden="false" customHeight="false" outlineLevel="0" collapsed="false">
      <c r="A82" s="16"/>
      <c r="B82" s="16"/>
      <c r="C82" s="16"/>
      <c r="D82" s="16"/>
      <c r="E82" s="15"/>
      <c r="F82" s="16"/>
      <c r="G82" s="10" t="str">
        <f aca="false">IF(OR(A82="",F82="Done"),"",IF(E82&lt;Settings!$B$5,"Overdue",""))</f>
        <v/>
      </c>
      <c r="H82" s="21" t="str">
        <f aca="false">IF(G82="Overdue",Settings!$B$5-E82,"")</f>
        <v/>
      </c>
    </row>
    <row r="83" customFormat="false" ht="15" hidden="false" customHeight="false" outlineLevel="0" collapsed="false">
      <c r="A83" s="16"/>
      <c r="B83" s="16"/>
      <c r="C83" s="16"/>
      <c r="D83" s="16"/>
      <c r="E83" s="15"/>
      <c r="F83" s="16"/>
      <c r="G83" s="10" t="str">
        <f aca="false">IF(OR(A83="",F83="Done"),"",IF(E83&lt;Settings!$B$5,"Overdue",""))</f>
        <v/>
      </c>
      <c r="H83" s="21" t="str">
        <f aca="false">IF(G83="Overdue",Settings!$B$5-E83,"")</f>
        <v/>
      </c>
    </row>
    <row r="84" customFormat="false" ht="15" hidden="false" customHeight="false" outlineLevel="0" collapsed="false">
      <c r="A84" s="16"/>
      <c r="B84" s="16"/>
      <c r="C84" s="16"/>
      <c r="D84" s="16"/>
      <c r="E84" s="15"/>
      <c r="F84" s="16"/>
      <c r="G84" s="10" t="str">
        <f aca="false">IF(OR(A84="",F84="Done"),"",IF(E84&lt;Settings!$B$5,"Overdue",""))</f>
        <v/>
      </c>
      <c r="H84" s="21" t="str">
        <f aca="false">IF(G84="Overdue",Settings!$B$5-E84,"")</f>
        <v/>
      </c>
    </row>
    <row r="85" customFormat="false" ht="15" hidden="false" customHeight="false" outlineLevel="0" collapsed="false">
      <c r="A85" s="16"/>
      <c r="B85" s="16"/>
      <c r="C85" s="16"/>
      <c r="D85" s="16"/>
      <c r="E85" s="15"/>
      <c r="F85" s="16"/>
      <c r="G85" s="10" t="str">
        <f aca="false">IF(OR(A85="",F85="Done"),"",IF(E85&lt;Settings!$B$5,"Overdue",""))</f>
        <v/>
      </c>
      <c r="H85" s="21" t="str">
        <f aca="false">IF(G85="Overdue",Settings!$B$5-E85,"")</f>
        <v/>
      </c>
    </row>
    <row r="86" customFormat="false" ht="15" hidden="false" customHeight="false" outlineLevel="0" collapsed="false">
      <c r="A86" s="16"/>
      <c r="B86" s="16"/>
      <c r="C86" s="16"/>
      <c r="D86" s="16"/>
      <c r="E86" s="15"/>
      <c r="F86" s="16"/>
      <c r="G86" s="10" t="str">
        <f aca="false">IF(OR(A86="",F86="Done"),"",IF(E86&lt;Settings!$B$5,"Overdue",""))</f>
        <v/>
      </c>
      <c r="H86" s="21" t="str">
        <f aca="false">IF(G86="Overdue",Settings!$B$5-E86,"")</f>
        <v/>
      </c>
    </row>
    <row r="87" customFormat="false" ht="15" hidden="false" customHeight="false" outlineLevel="0" collapsed="false">
      <c r="A87" s="16"/>
      <c r="B87" s="16"/>
      <c r="C87" s="16"/>
      <c r="D87" s="16"/>
      <c r="E87" s="15"/>
      <c r="F87" s="16"/>
      <c r="G87" s="10" t="str">
        <f aca="false">IF(OR(A87="",F87="Done"),"",IF(E87&lt;Settings!$B$5,"Overdue",""))</f>
        <v/>
      </c>
      <c r="H87" s="21" t="str">
        <f aca="false">IF(G87="Overdue",Settings!$B$5-E87,"")</f>
        <v/>
      </c>
    </row>
    <row r="88" customFormat="false" ht="15" hidden="false" customHeight="false" outlineLevel="0" collapsed="false">
      <c r="A88" s="16"/>
      <c r="B88" s="16"/>
      <c r="C88" s="16"/>
      <c r="D88" s="16"/>
      <c r="E88" s="15"/>
      <c r="F88" s="16"/>
      <c r="G88" s="10" t="str">
        <f aca="false">IF(OR(A88="",F88="Done"),"",IF(E88&lt;Settings!$B$5,"Overdue",""))</f>
        <v/>
      </c>
      <c r="H88" s="21" t="str">
        <f aca="false">IF(G88="Overdue",Settings!$B$5-E88,"")</f>
        <v/>
      </c>
    </row>
    <row r="89" customFormat="false" ht="15" hidden="false" customHeight="false" outlineLevel="0" collapsed="false">
      <c r="A89" s="16"/>
      <c r="B89" s="16"/>
      <c r="C89" s="16"/>
      <c r="D89" s="16"/>
      <c r="E89" s="15"/>
      <c r="F89" s="16"/>
      <c r="G89" s="10" t="str">
        <f aca="false">IF(OR(A89="",F89="Done"),"",IF(E89&lt;Settings!$B$5,"Overdue",""))</f>
        <v/>
      </c>
      <c r="H89" s="21" t="str">
        <f aca="false">IF(G89="Overdue",Settings!$B$5-E89,"")</f>
        <v/>
      </c>
    </row>
    <row r="90" customFormat="false" ht="15" hidden="false" customHeight="false" outlineLevel="0" collapsed="false">
      <c r="A90" s="16"/>
      <c r="B90" s="16"/>
      <c r="C90" s="16"/>
      <c r="D90" s="16"/>
      <c r="E90" s="15"/>
      <c r="F90" s="16"/>
      <c r="G90" s="10" t="str">
        <f aca="false">IF(OR(A90="",F90="Done"),"",IF(E90&lt;Settings!$B$5,"Overdue",""))</f>
        <v/>
      </c>
      <c r="H90" s="21" t="str">
        <f aca="false">IF(G90="Overdue",Settings!$B$5-E90,"")</f>
        <v/>
      </c>
    </row>
    <row r="91" customFormat="false" ht="15" hidden="false" customHeight="false" outlineLevel="0" collapsed="false">
      <c r="A91" s="16"/>
      <c r="B91" s="16"/>
      <c r="C91" s="16"/>
      <c r="D91" s="16"/>
      <c r="E91" s="15"/>
      <c r="F91" s="16"/>
      <c r="G91" s="10" t="str">
        <f aca="false">IF(OR(A91="",F91="Done"),"",IF(E91&lt;Settings!$B$5,"Overdue",""))</f>
        <v/>
      </c>
      <c r="H91" s="21" t="str">
        <f aca="false">IF(G91="Overdue",Settings!$B$5-E91,"")</f>
        <v/>
      </c>
    </row>
    <row r="92" customFormat="false" ht="15" hidden="false" customHeight="false" outlineLevel="0" collapsed="false">
      <c r="A92" s="16"/>
      <c r="B92" s="16"/>
      <c r="C92" s="16"/>
      <c r="D92" s="16"/>
      <c r="E92" s="15"/>
      <c r="F92" s="16"/>
      <c r="G92" s="10" t="str">
        <f aca="false">IF(OR(A92="",F92="Done"),"",IF(E92&lt;Settings!$B$5,"Overdue",""))</f>
        <v/>
      </c>
      <c r="H92" s="21" t="str">
        <f aca="false">IF(G92="Overdue",Settings!$B$5-E92,"")</f>
        <v/>
      </c>
    </row>
    <row r="93" customFormat="false" ht="15" hidden="false" customHeight="false" outlineLevel="0" collapsed="false">
      <c r="A93" s="16"/>
      <c r="B93" s="16"/>
      <c r="C93" s="16"/>
      <c r="D93" s="16"/>
      <c r="E93" s="15"/>
      <c r="F93" s="16"/>
      <c r="G93" s="10" t="str">
        <f aca="false">IF(OR(A93="",F93="Done"),"",IF(E93&lt;Settings!$B$5,"Overdue",""))</f>
        <v/>
      </c>
      <c r="H93" s="21" t="str">
        <f aca="false">IF(G93="Overdue",Settings!$B$5-E93,"")</f>
        <v/>
      </c>
    </row>
    <row r="94" customFormat="false" ht="15" hidden="false" customHeight="false" outlineLevel="0" collapsed="false">
      <c r="A94" s="16"/>
      <c r="B94" s="16"/>
      <c r="C94" s="16"/>
      <c r="D94" s="16"/>
      <c r="E94" s="15"/>
      <c r="F94" s="16"/>
      <c r="G94" s="10" t="str">
        <f aca="false">IF(OR(A94="",F94="Done"),"",IF(E94&lt;Settings!$B$5,"Overdue",""))</f>
        <v/>
      </c>
      <c r="H94" s="21" t="str">
        <f aca="false">IF(G94="Overdue",Settings!$B$5-E94,"")</f>
        <v/>
      </c>
    </row>
    <row r="95" customFormat="false" ht="15" hidden="false" customHeight="false" outlineLevel="0" collapsed="false">
      <c r="A95" s="16"/>
      <c r="B95" s="16"/>
      <c r="C95" s="16"/>
      <c r="D95" s="16"/>
      <c r="E95" s="15"/>
      <c r="F95" s="16"/>
      <c r="G95" s="10" t="str">
        <f aca="false">IF(OR(A95="",F95="Done"),"",IF(E95&lt;Settings!$B$5,"Overdue",""))</f>
        <v/>
      </c>
      <c r="H95" s="21" t="str">
        <f aca="false">IF(G95="Overdue",Settings!$B$5-E95,"")</f>
        <v/>
      </c>
    </row>
    <row r="96" customFormat="false" ht="15" hidden="false" customHeight="false" outlineLevel="0" collapsed="false">
      <c r="A96" s="16"/>
      <c r="B96" s="16"/>
      <c r="C96" s="16"/>
      <c r="D96" s="16"/>
      <c r="E96" s="15"/>
      <c r="F96" s="16"/>
      <c r="G96" s="10" t="str">
        <f aca="false">IF(OR(A96="",F96="Done"),"",IF(E96&lt;Settings!$B$5,"Overdue",""))</f>
        <v/>
      </c>
      <c r="H96" s="21" t="str">
        <f aca="false">IF(G96="Overdue",Settings!$B$5-E96,"")</f>
        <v/>
      </c>
    </row>
    <row r="97" customFormat="false" ht="15" hidden="false" customHeight="false" outlineLevel="0" collapsed="false">
      <c r="A97" s="16"/>
      <c r="B97" s="16"/>
      <c r="C97" s="16"/>
      <c r="D97" s="16"/>
      <c r="E97" s="15"/>
      <c r="F97" s="16"/>
      <c r="G97" s="10" t="str">
        <f aca="false">IF(OR(A97="",F97="Done"),"",IF(E97&lt;Settings!$B$5,"Overdue",""))</f>
        <v/>
      </c>
      <c r="H97" s="21" t="str">
        <f aca="false">IF(G97="Overdue",Settings!$B$5-E97,"")</f>
        <v/>
      </c>
    </row>
    <row r="98" customFormat="false" ht="15" hidden="false" customHeight="false" outlineLevel="0" collapsed="false">
      <c r="A98" s="16"/>
      <c r="B98" s="16"/>
      <c r="C98" s="16"/>
      <c r="D98" s="16"/>
      <c r="E98" s="15"/>
      <c r="F98" s="16"/>
      <c r="G98" s="10" t="str">
        <f aca="false">IF(OR(A98="",F98="Done"),"",IF(E98&lt;Settings!$B$5,"Overdue",""))</f>
        <v/>
      </c>
      <c r="H98" s="21" t="str">
        <f aca="false">IF(G98="Overdue",Settings!$B$5-E98,"")</f>
        <v/>
      </c>
    </row>
    <row r="99" customFormat="false" ht="15" hidden="false" customHeight="false" outlineLevel="0" collapsed="false">
      <c r="A99" s="16"/>
      <c r="B99" s="16"/>
      <c r="C99" s="16"/>
      <c r="D99" s="16"/>
      <c r="E99" s="15"/>
      <c r="F99" s="16"/>
      <c r="G99" s="10" t="str">
        <f aca="false">IF(OR(A99="",F99="Done"),"",IF(E99&lt;Settings!$B$5,"Overdue",""))</f>
        <v/>
      </c>
      <c r="H99" s="21" t="str">
        <f aca="false">IF(G99="Overdue",Settings!$B$5-E99,"")</f>
        <v/>
      </c>
    </row>
    <row r="100" customFormat="false" ht="15" hidden="false" customHeight="false" outlineLevel="0" collapsed="false">
      <c r="A100" s="16"/>
      <c r="B100" s="16"/>
      <c r="C100" s="16"/>
      <c r="D100" s="16"/>
      <c r="E100" s="15"/>
      <c r="F100" s="16"/>
      <c r="G100" s="10" t="str">
        <f aca="false">IF(OR(A100="",F100="Done"),"",IF(E100&lt;Settings!$B$5,"Overdue",""))</f>
        <v/>
      </c>
      <c r="H100" s="21" t="str">
        <f aca="false">IF(G100="Overdue",Settings!$B$5-E100,"")</f>
        <v/>
      </c>
    </row>
    <row r="101" customFormat="false" ht="15" hidden="false" customHeight="false" outlineLevel="0" collapsed="false">
      <c r="A101" s="16"/>
      <c r="B101" s="16"/>
      <c r="C101" s="16"/>
      <c r="D101" s="16"/>
      <c r="E101" s="15"/>
      <c r="F101" s="16"/>
      <c r="G101" s="10" t="str">
        <f aca="false">IF(OR(A101="",F101="Done"),"",IF(E101&lt;Settings!$B$5,"Overdue",""))</f>
        <v/>
      </c>
      <c r="H101" s="21" t="str">
        <f aca="false">IF(G101="Overdue",Settings!$B$5-E101,"")</f>
        <v/>
      </c>
    </row>
    <row r="102" customFormat="false" ht="15" hidden="false" customHeight="false" outlineLevel="0" collapsed="false">
      <c r="A102" s="16"/>
      <c r="B102" s="16"/>
      <c r="C102" s="16"/>
      <c r="D102" s="16"/>
      <c r="E102" s="15"/>
      <c r="F102" s="16"/>
      <c r="G102" s="10" t="str">
        <f aca="false">IF(OR(A102="",F102="Done"),"",IF(E102&lt;Settings!$B$5,"Overdue",""))</f>
        <v/>
      </c>
      <c r="H102" s="21" t="str">
        <f aca="false">IF(G102="Overdue",Settings!$B$5-E102,"")</f>
        <v/>
      </c>
    </row>
    <row r="103" customFormat="false" ht="15" hidden="false" customHeight="false" outlineLevel="0" collapsed="false">
      <c r="A103" s="16"/>
      <c r="B103" s="16"/>
      <c r="C103" s="16"/>
      <c r="D103" s="16"/>
      <c r="E103" s="15"/>
      <c r="F103" s="16"/>
      <c r="G103" s="10" t="str">
        <f aca="false">IF(OR(A103="",F103="Done"),"",IF(E103&lt;Settings!$B$5,"Overdue",""))</f>
        <v/>
      </c>
      <c r="H103" s="21" t="str">
        <f aca="false">IF(G103="Overdue",Settings!$B$5-E103,"")</f>
        <v/>
      </c>
    </row>
    <row r="104" customFormat="false" ht="15" hidden="false" customHeight="false" outlineLevel="0" collapsed="false">
      <c r="A104" s="16"/>
      <c r="B104" s="16"/>
      <c r="C104" s="16"/>
      <c r="D104" s="16"/>
      <c r="E104" s="15"/>
      <c r="F104" s="16"/>
      <c r="G104" s="10" t="str">
        <f aca="false">IF(OR(A104="",F104="Done"),"",IF(E104&lt;Settings!$B$5,"Overdue",""))</f>
        <v/>
      </c>
      <c r="H104" s="21" t="str">
        <f aca="false">IF(G104="Overdue",Settings!$B$5-E104,"")</f>
        <v/>
      </c>
    </row>
  </sheetData>
  <conditionalFormatting sqref="G5:G104">
    <cfRule type="cellIs" priority="2" operator="equal" aboveAverage="0" equalAverage="0" bottom="0" percent="0" rank="0" text="" dxfId="0">
      <formula>"Overdue"</formula>
    </cfRule>
  </conditionalFormatting>
  <dataValidations count="2">
    <dataValidation allowBlank="true" errorStyle="stop" operator="between" showDropDown="false" showErrorMessage="false" showInputMessage="false" sqref="C5:C104" type="list">
      <formula1>"Recruiter,Agency,Supplier,Internal"</formula1>
      <formula2>0</formula2>
    </dataValidation>
    <dataValidation allowBlank="true" errorStyle="stop" operator="between" showDropDown="false" showErrorMessage="false" showInputMessage="false" sqref="F5:F104" type="list">
      <formula1>"Open,Done"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2026-10-26T11:23:11Z</dcterms:created>
  <dc:creator>openpyxl</dc:creator>
  <dc:description/>
  <dc:language>en-US</dc:language>
  <cp:lastModifiedBy/>
  <dcterms:modified xsi:type="dcterms:W3CDTF">2026-10-26T11:23:15Z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